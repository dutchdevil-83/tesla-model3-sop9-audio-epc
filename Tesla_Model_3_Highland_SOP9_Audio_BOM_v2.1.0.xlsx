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B_Channel_Map_v2.1" sheetId="2" state="visible" r:id="rId2"/>
    <sheet xmlns:r="http://schemas.openxmlformats.org/officeDocument/2006/relationships" name="DSP_Tuning_Compare" sheetId="3" state="visible" r:id="rId3"/>
    <sheet xmlns:r="http://schemas.openxmlformats.org/officeDocument/2006/relationships" name="EU_Price_Matrix_v2.1" sheetId="4" state="visible" r:id="rId4"/>
    <sheet xmlns:r="http://schemas.openxmlformats.org/officeDocument/2006/relationships" name="MB_Quote_2026-09-10" sheetId="5" state="visible" r:id="rId5"/>
    <sheet xmlns:r="http://schemas.openxmlformats.org/officeDocument/2006/relationships" name="BOM_Recommended" sheetId="6" state="visible" r:id="rId6"/>
    <sheet xmlns:r="http://schemas.openxmlformats.org/officeDocument/2006/relationships" name="Price_Comparison" sheetId="7" state="visible" r:id="rId7"/>
    <sheet xmlns:r="http://schemas.openxmlformats.org/officeDocument/2006/relationships" name="Speaker_Map" sheetId="8" state="visible" r:id="rId8"/>
    <sheet xmlns:r="http://schemas.openxmlformats.org/officeDocument/2006/relationships" name="HELIX_Budget_BOM" sheetId="9" state="visible" r:id="rId9"/>
    <sheet xmlns:r="http://schemas.openxmlformats.org/officeDocument/2006/relationships" name="HELIX_Budget_Routes" sheetId="10" state="visible" r:id="rId10"/>
    <sheet xmlns:r="http://schemas.openxmlformats.org/officeDocument/2006/relationships" name="HELIX_EU_Prices" sheetId="11" state="visible" r:id="rId11"/>
    <sheet xmlns:r="http://schemas.openxmlformats.org/officeDocument/2006/relationships" name="HELIX_Budget_Channel_Map" sheetId="12" state="visible" r:id="rId12"/>
    <sheet xmlns:r="http://schemas.openxmlformats.org/officeDocument/2006/relationships" name="HELIX_Upgrade_Path" sheetId="13" state="visible" r:id="rId13"/>
    <sheet xmlns:r="http://schemas.openxmlformats.org/officeDocument/2006/relationships" name="HELIX_Comparison" sheetId="14" state="visible" r:id="rId14"/>
    <sheet xmlns:r="http://schemas.openxmlformats.org/officeDocument/2006/relationships" name="HELIX_i5_Setup" sheetId="15" state="visible" r:id="rId15"/>
    <sheet xmlns:r="http://schemas.openxmlformats.org/officeDocument/2006/relationships" name="HELIX_i7_Setup" sheetId="16" state="visible" r:id="rId16"/>
    <sheet xmlns:r="http://schemas.openxmlformats.org/officeDocument/2006/relationships" name="HELIX_Channel_Map" sheetId="17" state="visible" r:id="rId17"/>
    <sheet xmlns:r="http://schemas.openxmlformats.org/officeDocument/2006/relationships" name="Alternatives" sheetId="18" state="visible" r:id="rId18"/>
    <sheet xmlns:r="http://schemas.openxmlformats.org/officeDocument/2006/relationships" name="Subwoofer_System" sheetId="19" state="visible" r:id="rId19"/>
    <sheet xmlns:r="http://schemas.openxmlformats.org/officeDocument/2006/relationships" name="Sub_Amp_Options" sheetId="20" state="visible" r:id="rId20"/>
    <sheet xmlns:r="http://schemas.openxmlformats.org/officeDocument/2006/relationships" name="Sources" sheetId="21" state="visible" r:id="rId21"/>
    <sheet xmlns:r="http://schemas.openxmlformats.org/officeDocument/2006/relationships" name="MBC_Configurator" sheetId="22" state="visible" r:id="rId22"/>
    <sheet xmlns:r="http://schemas.openxmlformats.org/officeDocument/2006/relationships" name="MBC_Focal_Set" sheetId="23" state="visible" r:id="rId23"/>
    <sheet xmlns:r="http://schemas.openxmlformats.org/officeDocument/2006/relationships" name="MBC_Audison_Set" sheetId="24" state="visible" r:id="rId24"/>
    <sheet xmlns:r="http://schemas.openxmlformats.org/officeDocument/2006/relationships" name="MBC_Other_Options" sheetId="25" state="visible" r:id="rId25"/>
    <sheet xmlns:r="http://schemas.openxmlformats.org/officeDocument/2006/relationships" name="Power_Match" sheetId="26" state="visible" r:id="rId26"/>
    <sheet xmlns:r="http://schemas.openxmlformats.org/officeDocument/2006/relationships" name="MBC_Shopping_List" sheetId="27" state="visible" r:id="rId27"/>
    <sheet xmlns:r="http://schemas.openxmlformats.org/officeDocument/2006/relationships" name="Price_Benchmark_MBC" sheetId="28" state="visible" r:id="rId28"/>
    <sheet xmlns:r="http://schemas.openxmlformats.org/officeDocument/2006/relationships" name="MBC_Quote_Mails" sheetId="29" state="visible" r:id="rId29"/>
    <sheet xmlns:r="http://schemas.openxmlformats.org/officeDocument/2006/relationships" name="MBC_Completion_Candidates" sheetId="30" state="visible" r:id="rId30"/>
    <sheet xmlns:r="http://schemas.openxmlformats.org/officeDocument/2006/relationships" name="EU_Shop_Check" sheetId="31" state="visible" r:id="rId31"/>
    <sheet xmlns:r="http://schemas.openxmlformats.org/officeDocument/2006/relationships" name="Speaker_Sourcing_NL_DE" sheetId="32" state="visible" r:id="rId32"/>
    <sheet xmlns:r="http://schemas.openxmlformats.org/officeDocument/2006/relationships" name="Supplier_Stage_Plan" sheetId="33" state="visible" r:id="rId33"/>
    <sheet xmlns:r="http://schemas.openxmlformats.org/officeDocument/2006/relationships" name="Supplier_Feedback" sheetId="34" state="visible" r:id="rId34"/>
    <sheet xmlns:r="http://schemas.openxmlformats.org/officeDocument/2006/relationships" name="Decision_Log" sheetId="35" state="visible" r:id="rId35"/>
    <sheet xmlns:r="http://schemas.openxmlformats.org/officeDocument/2006/relationships" name="SOP9_Connector_Map" sheetId="36" state="visible" r:id="rId36"/>
    <sheet xmlns:r="http://schemas.openxmlformats.org/officeDocument/2006/relationships" name="SOP9_Asset_Coverage" sheetId="37" state="visible" r:id="rId37"/>
    <sheet xmlns:r="http://schemas.openxmlformats.org/officeDocument/2006/relationships" name="Asset_Manifest_v2" sheetId="38" state="visible" r:id="rId38"/>
    <sheet xmlns:r="http://schemas.openxmlformats.org/officeDocument/2006/relationships" name="EPC_Chain_Map" sheetId="39" state="visible" r:id="rId39"/>
    <sheet xmlns:r="http://schemas.openxmlformats.org/officeDocument/2006/relationships" name="Asset_Audit" sheetId="40" state="visible" r:id="rId40"/>
  </sheets>
  <definedNames>
    <definedName name="_xlnm._FilterDatabase" localSheetId="1" hidden="1">'MB_Channel_Map_v2.1'!$A$4:$J$11</definedName>
    <definedName name="_xlnm._FilterDatabase" localSheetId="2" hidden="1">'DSP_Tuning_Compare'!$A$4:$I$11</definedName>
    <definedName name="_xlnm._FilterDatabase" localSheetId="3" hidden="1">'EU_Price_Matrix_v2.1'!$A$4:$AD$63</definedName>
    <definedName name="_xlnm._FilterDatabase" localSheetId="4" hidden="1">'MB_Quote_2026-09-10'!$A$4:$I$14</definedName>
    <definedName name="_xlnm._FilterDatabase" localSheetId="6" hidden="1">'Price_Comparison'!$A$4:$O$39</definedName>
    <definedName name="_xlnm._FilterDatabase" localSheetId="10" hidden="1">'HELIX_EU_Prices'!$A$4:$M$48</definedName>
    <definedName name="_xlnm._FilterDatabase" localSheetId="14" hidden="1">'HELIX_i5_Setup'!$A$4:$Q$21</definedName>
    <definedName name="_xlnm._FilterDatabase" localSheetId="15" hidden="1">'HELIX_i7_Setup'!$A$4:$Q$21</definedName>
    <definedName name="_xlnm._FilterDatabase" localSheetId="16" hidden="1">'HELIX_Channel_Map'!$A$4:$L$23</definedName>
    <definedName name="_xlnm._FilterDatabase" localSheetId="18" hidden="1">'Subwoofer_System'!$A$4:$F$16</definedName>
    <definedName name="_xlnm._FilterDatabase" localSheetId="19" hidden="1">'Sub_Amp_Options'!$A$4:$M$9</definedName>
    <definedName name="_xlnm._FilterDatabase" localSheetId="26" hidden="1">'MBC_Shopping_List'!$A$4:$N$14</definedName>
    <definedName name="_xlnm._FilterDatabase" localSheetId="29" hidden="1">'MBC_Completion_Candidates'!$A$4:$Q$8</definedName>
    <definedName name="_xlnm._FilterDatabase" localSheetId="31" hidden="1">'Speaker_Sourcing_NL_DE'!$A$4:$M$12</definedName>
    <definedName name="_xlnm._FilterDatabase" localSheetId="32" hidden="1">'Supplier_Stage_Plan'!$A$4:$H$11</definedName>
    <definedName name="_xlnm._FilterDatabase" localSheetId="33" hidden="1">'Supplier_Feedback'!$A$4:$H$12</definedName>
    <definedName name="_xlnm._FilterDatabase" localSheetId="35" hidden="1">'SOP9_Connector_Map'!$A$1:$T$31</definedName>
    <definedName name="_xlnm._FilterDatabase" localSheetId="36" hidden="1">'SOP9_Asset_Coverage'!$A$1:$P$16</definedName>
    <definedName name="_xlnm._FilterDatabase" localSheetId="37" hidden="1">'Asset_Manifest_v2'!$A$1:$J$242</definedName>
    <definedName name="_xlnm._FilterDatabase" localSheetId="38" hidden="1">'EPC_Chain_Map'!$A$1:$H$76</definedName>
    <definedName name="_xlnm._FilterDatabase" localSheetId="39" hidden="1">'Asset_Audit'!$A$1:$D$14</definedName>
  </definedNames>
  <calcPr calcId="124519" calcMode="auto" fullCalcOnLoad="1" forceFullCalc="1"/>
</workbook>
</file>

<file path=xl/styles.xml><?xml version="1.0" encoding="utf-8"?>
<styleSheet xmlns="http://schemas.openxmlformats.org/spreadsheetml/2006/main">
  <numFmts count="7">
    <numFmt numFmtId="164" formatCode="€ #,##0.00;[Red](€ #,##0.00);-"/>
    <numFmt numFmtId="165" formatCode="0.000000"/>
    <numFmt numFmtId="166" formatCode="$ #,##0.00"/>
    <numFmt numFmtId="167" formatCode="€ #,##0.00"/>
    <numFmt numFmtId="168" formatCode="0.0%"/>
    <numFmt numFmtId="169" formatCode="#,##0.00 [$€-x-euro2]"/>
    <numFmt numFmtId="170" formatCode="€#,##0.00"/>
  </numFmts>
  <fonts count="39">
    <font>
      <name val="Calibri"/>
      <family val="2"/>
      <color theme="1"/>
      <sz val="11"/>
      <scheme val="minor"/>
    </font>
    <font>
      <b val="1"/>
      <color rgb="00FFFFFF"/>
      <sz val="18"/>
    </font>
    <font>
      <i val="1"/>
      <color rgb="00666666"/>
    </font>
    <font>
      <b val="1"/>
      <color rgb="00666666"/>
    </font>
    <font>
      <color rgb="000000FF"/>
    </font>
    <font>
      <b val="1"/>
      <color rgb="00000000"/>
    </font>
    <font>
      <color rgb="00008000"/>
    </font>
    <font>
      <b val="1"/>
      <color rgb="00FFFFFF"/>
    </font>
    <font>
      <b val="1"/>
    </font>
    <font>
      <color rgb="00008000"/>
      <u val="single"/>
    </font>
    <font>
      <color rgb="00000000"/>
    </font>
    <font>
      <name val="Calibri"/>
      <family val="2"/>
      <color theme="10"/>
      <sz val="12"/>
      <scheme val="minor"/>
    </font>
    <font>
      <b val="1"/>
      <color rgb="00008000"/>
    </font>
    <font>
      <name val="Calibri"/>
      <color rgb="000000FF"/>
      <sz val="11"/>
    </font>
    <font>
      <name val="Calibri"/>
      <color rgb="00008000"/>
      <sz val="11"/>
    </font>
    <font>
      <name val="Aptos"/>
      <b val="1"/>
      <sz val="11"/>
    </font>
    <font>
      <name val="Aptos"/>
      <b val="1"/>
      <color rgb="00C00000"/>
      <sz val="11"/>
    </font>
    <font>
      <name val="Aptos"/>
      <color rgb="000563C1"/>
      <sz val="11"/>
      <u val="single"/>
    </font>
    <font>
      <name val="Aptos"/>
      <color rgb="00008000"/>
      <sz val="11"/>
    </font>
    <font>
      <name val="Aptos"/>
      <color rgb="000000FF"/>
      <sz val="11"/>
    </font>
    <font>
      <b val="1"/>
      <color rgb="00FFFFFF"/>
      <sz val="14"/>
    </font>
    <font>
      <b val="1"/>
      <color rgb="00B31412"/>
    </font>
    <font>
      <color rgb="001967D2"/>
      <u val="single"/>
    </font>
    <font>
      <b val="1"/>
      <color rgb="008A5600"/>
    </font>
    <font>
      <b val="1"/>
      <color rgb="00FFFFFF"/>
      <sz val="15"/>
    </font>
    <font>
      <color rgb="005F6368"/>
      <sz val="10"/>
    </font>
    <font>
      <b val="1"/>
      <color rgb="009A6700"/>
    </font>
    <font>
      <b val="1"/>
      <color rgb="00137333"/>
    </font>
    <font>
      <i val="1"/>
      <color rgb="005F6368"/>
      <sz val="10"/>
    </font>
    <font>
      <b val="1"/>
      <color rgb="00B06000"/>
    </font>
    <font>
      <b val="1"/>
      <color rgb="00174EA6"/>
    </font>
    <font>
      <b val="1"/>
      <color rgb="000000FF"/>
    </font>
    <font>
      <name val="Calibri"/>
      <color rgb="00C65911"/>
      <sz val="11"/>
    </font>
    <font>
      <name val="Aptos"/>
      <color rgb="00008000"/>
      <sz val="9"/>
    </font>
    <font>
      <name val="Aptos"/>
      <color rgb="000563C1"/>
      <sz val="9"/>
    </font>
    <font>
      <i val="1"/>
      <color rgb="00404040"/>
      <sz val="10"/>
    </font>
    <font>
      <name val="Calibri"/>
      <color rgb="00000000"/>
      <sz val="11"/>
    </font>
    <font>
      <b val="1"/>
      <color rgb="009C0006"/>
    </font>
    <font>
      <name val="Calibri"/>
      <color rgb="00666666"/>
      <sz val="11"/>
    </font>
  </fonts>
  <fills count="23">
    <fill>
      <patternFill/>
    </fill>
    <fill>
      <patternFill patternType="gray125"/>
    </fill>
    <fill>
      <patternFill patternType="solid">
        <fgColor rgb="0017365D"/>
      </patternFill>
    </fill>
    <fill>
      <patternFill patternType="solid">
        <fgColor rgb="000F6B78"/>
      </patternFill>
    </fill>
    <fill>
      <patternFill patternType="solid">
        <fgColor rgb="00DDEBF7"/>
      </patternFill>
    </fill>
    <fill>
      <patternFill patternType="solid">
        <fgColor rgb="00E7E6E6"/>
      </patternFill>
    </fill>
    <fill>
      <patternFill patternType="solid">
        <fgColor rgb="00FFFFFF"/>
      </patternFill>
    </fill>
    <fill>
      <patternFill patternType="solid">
        <fgColor rgb="00D9EAF7"/>
      </patternFill>
    </fill>
    <fill>
      <patternFill patternType="solid">
        <fgColor rgb="00E2F0D9"/>
      </patternFill>
    </fill>
    <fill>
      <patternFill patternType="solid">
        <fgColor rgb="00FCE4D6"/>
      </patternFill>
    </fill>
    <fill>
      <patternFill patternType="solid">
        <fgColor rgb="001F4E78"/>
      </patternFill>
    </fill>
    <fill>
      <patternFill patternType="solid">
        <fgColor rgb="00F4CCCC"/>
      </patternFill>
    </fill>
    <fill>
      <patternFill patternType="solid">
        <fgColor rgb="00D9EAD3"/>
      </patternFill>
    </fill>
    <fill>
      <patternFill patternType="solid">
        <fgColor rgb="00202124"/>
      </patternFill>
    </fill>
    <fill>
      <patternFill patternType="solid">
        <fgColor rgb="00FFF4E5"/>
      </patternFill>
    </fill>
    <fill>
      <patternFill patternType="solid">
        <fgColor rgb="00FCE8E6"/>
      </patternFill>
    </fill>
    <fill>
      <patternFill patternType="solid">
        <fgColor rgb="00E6F4EA"/>
      </patternFill>
    </fill>
    <fill>
      <patternFill patternType="solid">
        <fgColor rgb="00E8EAED"/>
      </patternFill>
    </fill>
    <fill>
      <patternFill patternType="solid">
        <fgColor rgb="00F1F3F4"/>
      </patternFill>
    </fill>
    <fill>
      <patternFill patternType="solid">
        <fgColor rgb="00E0F2F1"/>
      </patternFill>
    </fill>
    <fill>
      <patternFill patternType="solid">
        <fgColor rgb="00F3E8FD"/>
      </patternFill>
    </fill>
    <fill>
      <patternFill patternType="solid">
        <fgColor rgb="00FEF7E0"/>
      </patternFill>
    </fill>
    <fill>
      <patternFill patternType="solid">
        <fgColor rgb="00FFF2CC"/>
      </patternFill>
    </fill>
  </fills>
  <borders count="9">
    <border>
      <left/>
      <right/>
      <top/>
      <bottom/>
      <diagonal/>
    </border>
    <border>
      <bottom style="medium">
        <color rgb="0017365D"/>
      </bottom>
    </border>
    <border>
      <top style="thin">
        <color rgb="00B7B7B7"/>
      </top>
    </border>
    <border>
      <left/>
      <right/>
      <top/>
      <bottom style="medium">
        <color rgb="0017365D"/>
      </bottom>
      <diagonal/>
    </border>
    <border>
      <right/>
      <bottom style="medium">
        <color rgb="0017365D"/>
      </bottom>
    </border>
    <border>
      <bottom style="thin">
        <color rgb="00DADCE0"/>
      </bottom>
    </border>
    <border>
      <bottom style="hair">
        <color rgb="00E5E5E5"/>
      </bottom>
    </border>
    <border>
      <left/>
      <right/>
      <top/>
      <bottom style="thin">
        <color rgb="00DADCE0"/>
      </bottom>
      <diagonal/>
    </border>
    <border>
      <right/>
      <bottom style="thin">
        <color rgb="00DADCE0"/>
      </bottom>
    </border>
  </borders>
  <cellStyleXfs count="2">
    <xf numFmtId="0" fontId="0" fillId="0" borderId="0"/>
    <xf numFmtId="0" fontId="11" fillId="0" borderId="0"/>
  </cellStyleXfs>
  <cellXfs count="18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wrapText="1"/>
    </xf>
    <xf numFmtId="0" fontId="3" fillId="0" borderId="0" pivotButton="0" quotePrefix="0" xfId="0"/>
    <xf numFmtId="164" fontId="4" fillId="7" borderId="0" pivotButton="0" quotePrefix="0" xfId="0"/>
    <xf numFmtId="0" fontId="7" fillId="3" borderId="0" pivotButton="0" quotePrefix="0" xfId="0"/>
    <xf numFmtId="0" fontId="0" fillId="4" borderId="0" applyAlignment="1" pivotButton="0" quotePrefix="0" xfId="0">
      <alignment vertical="top" wrapText="1"/>
    </xf>
    <xf numFmtId="0" fontId="5" fillId="8" borderId="0" pivotButton="0" quotePrefix="0" xfId="0"/>
    <xf numFmtId="0" fontId="5" fillId="9" borderId="0" pivotButton="0" quotePrefix="0" xfId="0"/>
    <xf numFmtId="0" fontId="6" fillId="0" borderId="0" pivotButton="0" quotePrefix="0" xfId="0"/>
    <xf numFmtId="165" fontId="4" fillId="0" borderId="0" pivotButton="0" quotePrefix="0" xfId="0"/>
    <xf numFmtId="0" fontId="7" fillId="2" borderId="0" pivotButton="0" quotePrefix="0" xfId="0"/>
    <xf numFmtId="0" fontId="0" fillId="5" borderId="0" applyAlignment="1" pivotButton="0" quotePrefix="0" xfId="0">
      <alignment wrapText="1"/>
    </xf>
    <xf numFmtId="0" fontId="0" fillId="6" borderId="0" applyAlignment="1" pivotButton="0" quotePrefix="0" xfId="0">
      <alignment wrapText="1"/>
    </xf>
    <xf numFmtId="0" fontId="7" fillId="10" borderId="1" applyAlignment="1" pivotButton="0" quotePrefix="0" xfId="0">
      <alignment horizontal="center" vertical="center" wrapText="1"/>
    </xf>
    <xf numFmtId="0" fontId="0" fillId="0" borderId="0" applyAlignment="1" pivotButton="0" quotePrefix="0" xfId="0">
      <alignment vertical="top" wrapText="1"/>
    </xf>
    <xf numFmtId="164" fontId="6" fillId="0" borderId="0" applyAlignment="1" pivotButton="0" quotePrefix="0" xfId="0">
      <alignment vertical="top" wrapText="1"/>
    </xf>
    <xf numFmtId="164" fontId="10" fillId="0" borderId="0" applyAlignment="1" pivotButton="0" quotePrefix="0" xfId="0">
      <alignment vertical="top" wrapText="1"/>
    </xf>
    <xf numFmtId="0" fontId="6" fillId="0" borderId="0" applyAlignment="1" pivotButton="0" quotePrefix="0" xfId="0">
      <alignment vertical="top" wrapText="1"/>
    </xf>
    <xf numFmtId="0" fontId="0" fillId="9" borderId="0" applyAlignment="1" pivotButton="0" quotePrefix="0" xfId="0">
      <alignment vertical="top" wrapText="1"/>
    </xf>
    <xf numFmtId="164" fontId="6" fillId="9" borderId="0" applyAlignment="1" pivotButton="0" quotePrefix="0" xfId="0">
      <alignment vertical="top" wrapText="1"/>
    </xf>
    <xf numFmtId="164" fontId="10" fillId="9" borderId="0" applyAlignment="1" pivotButton="0" quotePrefix="0" xfId="0">
      <alignment vertical="top" wrapText="1"/>
    </xf>
    <xf numFmtId="0" fontId="6" fillId="9" borderId="0" applyAlignment="1" pivotButton="0" quotePrefix="0" xfId="0">
      <alignment vertical="top" wrapText="1"/>
    </xf>
    <xf numFmtId="0" fontId="8" fillId="0" borderId="2" pivotButton="0" quotePrefix="0" xfId="0"/>
    <xf numFmtId="164" fontId="5" fillId="0" borderId="2" pivotButton="0" quotePrefix="0" xfId="0"/>
    <xf numFmtId="0" fontId="0" fillId="0" borderId="2" pivotButton="0" quotePrefix="0" xfId="0"/>
    <xf numFmtId="164" fontId="10" fillId="0" borderId="2" pivotButton="0" quotePrefix="0" xfId="0"/>
    <xf numFmtId="164" fontId="10" fillId="9" borderId="2" pivotButton="0" quotePrefix="0" xfId="0"/>
    <xf numFmtId="0" fontId="10" fillId="0" borderId="2" pivotButton="0" quotePrefix="0" xfId="0"/>
    <xf numFmtId="164" fontId="0" fillId="0" borderId="0" applyAlignment="1" pivotButton="0" quotePrefix="0" xfId="0">
      <alignment vertical="top" wrapText="1"/>
    </xf>
    <xf numFmtId="165" fontId="0" fillId="0" borderId="0" applyAlignment="1" pivotButton="0" quotePrefix="0" xfId="0">
      <alignment vertical="top" wrapText="1"/>
    </xf>
    <xf numFmtId="0" fontId="9" fillId="0" borderId="0" pivotButton="0" quotePrefix="0" xfId="1"/>
    <xf numFmtId="166" fontId="0" fillId="0" borderId="0" applyAlignment="1" pivotButton="0" quotePrefix="0" xfId="0">
      <alignment vertical="top" wrapText="1"/>
    </xf>
    <xf numFmtId="166" fontId="0" fillId="9" borderId="0" applyAlignment="1" pivotButton="0" quotePrefix="0" xfId="0">
      <alignment vertical="top" wrapText="1"/>
    </xf>
    <xf numFmtId="165" fontId="0" fillId="9" borderId="0" applyAlignment="1" pivotButton="0" quotePrefix="0" xfId="0">
      <alignment vertical="top" wrapText="1"/>
    </xf>
    <xf numFmtId="0" fontId="8" fillId="0" borderId="0" pivotButton="0" quotePrefix="0" xfId="0"/>
    <xf numFmtId="0" fontId="10" fillId="0" borderId="0" pivotButton="0" quotePrefix="0" xfId="0"/>
    <xf numFmtId="0" fontId="0" fillId="8" borderId="0" applyAlignment="1" pivotButton="0" quotePrefix="0" xfId="0">
      <alignment vertical="top" wrapText="1"/>
    </xf>
    <xf numFmtId="164" fontId="10" fillId="8" borderId="0" applyAlignment="1" pivotButton="0" quotePrefix="0" xfId="0">
      <alignment vertical="top" wrapText="1"/>
    </xf>
    <xf numFmtId="0" fontId="0" fillId="11" borderId="0" applyAlignment="1" pivotButton="0" quotePrefix="0" xfId="0">
      <alignment vertical="top" wrapText="1"/>
    </xf>
    <xf numFmtId="164" fontId="10" fillId="11" borderId="0" applyAlignment="1" pivotButton="0" quotePrefix="0" xfId="0">
      <alignment vertical="top" wrapText="1"/>
    </xf>
    <xf numFmtId="0" fontId="0" fillId="0" borderId="0" applyAlignment="1" pivotButton="0" quotePrefix="0" xfId="0">
      <alignment wrapText="1"/>
    </xf>
    <xf numFmtId="0" fontId="0" fillId="9" borderId="0" applyAlignment="1" pivotButton="0" quotePrefix="0" xfId="0">
      <alignment wrapText="1"/>
    </xf>
    <xf numFmtId="0" fontId="9" fillId="0" borderId="0" applyAlignment="1" pivotButton="0" quotePrefix="0" xfId="0">
      <alignment vertical="top" wrapText="1"/>
    </xf>
    <xf numFmtId="0" fontId="11" fillId="0" borderId="0" pivotButton="0" quotePrefix="0" xfId="1"/>
    <xf numFmtId="167" fontId="12" fillId="12" borderId="0" pivotButton="0" quotePrefix="0" xfId="0"/>
    <xf numFmtId="0" fontId="7" fillId="10" borderId="1" applyAlignment="1" pivotButton="0" quotePrefix="0" xfId="0">
      <alignment vertical="top" wrapText="1"/>
    </xf>
    <xf numFmtId="0" fontId="17" fillId="0" borderId="0" pivotButton="0" quotePrefix="0" xfId="1"/>
    <xf numFmtId="0" fontId="17" fillId="0" borderId="0" pivotButton="0" quotePrefix="0" xfId="0"/>
    <xf numFmtId="0" fontId="17" fillId="0" borderId="0" applyAlignment="1" pivotButton="0" quotePrefix="0" xfId="0">
      <alignment vertical="top" wrapText="1"/>
    </xf>
    <xf numFmtId="0" fontId="1" fillId="2" borderId="0" applyAlignment="1" pivotButton="0" quotePrefix="0" xfId="0">
      <alignment horizontal="left" vertical="center"/>
    </xf>
    <xf numFmtId="0" fontId="2" fillId="0" borderId="0" applyAlignment="1" pivotButton="0" quotePrefix="0" xfId="0">
      <alignment vertical="top" wrapText="1"/>
    </xf>
    <xf numFmtId="164" fontId="14" fillId="0" borderId="0" applyAlignment="1" pivotButton="0" quotePrefix="0" xfId="0">
      <alignment vertical="top" wrapText="1"/>
    </xf>
    <xf numFmtId="164" fontId="13" fillId="7" borderId="0" applyAlignment="1" pivotButton="0" quotePrefix="0" xfId="0">
      <alignment vertical="top" wrapText="1"/>
    </xf>
    <xf numFmtId="168" fontId="13" fillId="7" borderId="0" applyAlignment="1" pivotButton="0" quotePrefix="0" xfId="0">
      <alignment vertical="top" wrapText="1"/>
    </xf>
    <xf numFmtId="168" fontId="0" fillId="0" borderId="0" applyAlignment="1" pivotButton="0" quotePrefix="0" xfId="0">
      <alignment vertical="top" wrapText="1"/>
    </xf>
    <xf numFmtId="0" fontId="0" fillId="0" borderId="3" pivotButton="0" quotePrefix="0" xfId="0"/>
    <xf numFmtId="0" fontId="7" fillId="9" borderId="1" applyAlignment="1" pivotButton="0" quotePrefix="0" xfId="0">
      <alignment vertical="top" wrapText="1"/>
    </xf>
    <xf numFmtId="0" fontId="0" fillId="9" borderId="3" applyAlignment="1" pivotButton="0" quotePrefix="0" xfId="0">
      <alignment vertical="top" wrapText="1"/>
    </xf>
    <xf numFmtId="0" fontId="15" fillId="0" borderId="0" applyAlignment="1" pivotButton="0" quotePrefix="0" xfId="0">
      <alignment vertical="top" wrapText="1"/>
    </xf>
    <xf numFmtId="164" fontId="15" fillId="0" borderId="0" applyAlignment="1" pivotButton="0" quotePrefix="0" xfId="0">
      <alignment vertical="top" wrapText="1"/>
    </xf>
    <xf numFmtId="0" fontId="16" fillId="11" borderId="0" applyAlignment="1" pivotButton="0" quotePrefix="0" xfId="0">
      <alignment vertical="top" wrapText="1"/>
    </xf>
    <xf numFmtId="0" fontId="7" fillId="10" borderId="4" applyAlignment="1" pivotButton="0" quotePrefix="0" xfId="0">
      <alignment horizontal="center" vertical="center" wrapText="1"/>
    </xf>
    <xf numFmtId="0" fontId="7" fillId="10" borderId="1" applyAlignment="1" pivotButton="0" quotePrefix="0" xfId="0">
      <alignment vertical="center" wrapText="1"/>
    </xf>
    <xf numFmtId="0" fontId="7" fillId="9" borderId="4" applyAlignment="1" pivotButton="0" quotePrefix="0" xfId="0">
      <alignment vertical="top" wrapText="1"/>
    </xf>
    <xf numFmtId="167" fontId="0" fillId="0" borderId="0" applyAlignment="1" pivotButton="0" quotePrefix="0" xfId="0">
      <alignment vertical="top" wrapText="1"/>
    </xf>
    <xf numFmtId="166" fontId="0" fillId="0" borderId="0" pivotButton="0" quotePrefix="0" xfId="0"/>
    <xf numFmtId="167" fontId="0" fillId="0" borderId="0" pivotButton="0" quotePrefix="0" xfId="0"/>
    <xf numFmtId="0" fontId="18" fillId="0" borderId="0" applyAlignment="1" pivotButton="0" quotePrefix="0" xfId="0">
      <alignment wrapText="1"/>
    </xf>
    <xf numFmtId="9" fontId="19" fillId="0" borderId="0" applyAlignment="1" pivotButton="0" quotePrefix="0" xfId="0">
      <alignment wrapText="1"/>
    </xf>
    <xf numFmtId="0" fontId="7" fillId="10" borderId="4" applyAlignment="1" pivotButton="0" quotePrefix="0" xfId="0">
      <alignment vertical="top" wrapText="1"/>
    </xf>
    <xf numFmtId="0" fontId="20" fillId="2" borderId="0" applyAlignment="1" pivotButton="0" quotePrefix="0" xfId="0">
      <alignment vertical="center"/>
    </xf>
    <xf numFmtId="0" fontId="0" fillId="7" borderId="0" applyAlignment="1" pivotButton="0" quotePrefix="0" xfId="0">
      <alignment wrapText="1"/>
    </xf>
    <xf numFmtId="0" fontId="7" fillId="2" borderId="0" applyAlignment="1" pivotButton="0" quotePrefix="0" xfId="0">
      <alignment wrapText="1"/>
    </xf>
    <xf numFmtId="0" fontId="0" fillId="5" borderId="0" applyAlignment="1" pivotButton="0" quotePrefix="0" xfId="0">
      <alignment vertical="top" wrapText="1"/>
    </xf>
    <xf numFmtId="0" fontId="7" fillId="2" borderId="0" applyAlignment="1" pivotButton="0" quotePrefix="0" xfId="0">
      <alignment vertical="center"/>
    </xf>
    <xf numFmtId="0" fontId="7" fillId="13" borderId="0" applyAlignment="1" pivotButton="0" quotePrefix="0" xfId="0">
      <alignment vertical="center" wrapText="1"/>
    </xf>
    <xf numFmtId="0" fontId="0" fillId="6" borderId="0" applyAlignment="1" pivotButton="0" quotePrefix="0" xfId="0">
      <alignment vertical="top" wrapText="1"/>
    </xf>
    <xf numFmtId="0" fontId="0" fillId="14" borderId="0" applyAlignment="1" pivotButton="0" quotePrefix="0" xfId="0">
      <alignment vertical="top" wrapText="1"/>
    </xf>
    <xf numFmtId="164" fontId="6" fillId="14" borderId="0" applyAlignment="1" pivotButton="0" quotePrefix="0" xfId="0">
      <alignment vertical="top" wrapText="1"/>
    </xf>
    <xf numFmtId="164" fontId="10" fillId="14" borderId="0" applyAlignment="1" pivotButton="0" quotePrefix="0" xfId="0">
      <alignment vertical="top" wrapText="1"/>
    </xf>
    <xf numFmtId="0" fontId="6" fillId="14" borderId="0" applyAlignment="1" pivotButton="0" quotePrefix="0" xfId="0">
      <alignment vertical="top" wrapText="1"/>
    </xf>
    <xf numFmtId="0" fontId="0" fillId="15" borderId="0" applyAlignment="1" pivotButton="0" quotePrefix="0" xfId="0">
      <alignment vertical="top" wrapText="1"/>
    </xf>
    <xf numFmtId="0" fontId="21" fillId="0" borderId="0" pivotButton="0" quotePrefix="0" xfId="0"/>
    <xf numFmtId="0" fontId="0" fillId="15" borderId="0" applyAlignment="1" pivotButton="0" quotePrefix="0" xfId="0">
      <alignment wrapText="1"/>
    </xf>
    <xf numFmtId="0" fontId="21" fillId="15" borderId="0" applyAlignment="1" pivotButton="0" quotePrefix="0" xfId="0">
      <alignment vertical="top" wrapText="1"/>
    </xf>
    <xf numFmtId="0" fontId="0" fillId="16" borderId="0" applyAlignment="1" pivotButton="0" quotePrefix="0" xfId="0">
      <alignment vertical="top" wrapText="1"/>
    </xf>
    <xf numFmtId="164" fontId="6" fillId="16" borderId="0" applyAlignment="1" pivotButton="0" quotePrefix="0" xfId="0">
      <alignment vertical="top" wrapText="1"/>
    </xf>
    <xf numFmtId="164" fontId="10" fillId="16" borderId="0" applyAlignment="1" pivotButton="0" quotePrefix="0" xfId="0">
      <alignment vertical="top" wrapText="1"/>
    </xf>
    <xf numFmtId="0" fontId="6" fillId="16" borderId="0" applyAlignment="1" pivotButton="0" quotePrefix="0" xfId="0">
      <alignment vertical="top" wrapText="1"/>
    </xf>
    <xf numFmtId="164" fontId="6" fillId="15" borderId="0" applyAlignment="1" pivotButton="0" quotePrefix="0" xfId="0">
      <alignment vertical="top" wrapText="1"/>
    </xf>
    <xf numFmtId="164" fontId="10" fillId="15" borderId="0" applyAlignment="1" pivotButton="0" quotePrefix="0" xfId="0">
      <alignment vertical="top" wrapText="1"/>
    </xf>
    <xf numFmtId="0" fontId="6" fillId="15" borderId="0" applyAlignment="1" pivotButton="0" quotePrefix="0" xfId="0">
      <alignment vertical="top" wrapText="1"/>
    </xf>
    <xf numFmtId="0" fontId="20" fillId="13" borderId="0" applyAlignment="1" pivotButton="0" quotePrefix="0" xfId="0">
      <alignment vertical="center" wrapText="1"/>
    </xf>
    <xf numFmtId="0" fontId="0" fillId="18" borderId="0" applyAlignment="1" pivotButton="0" quotePrefix="0" xfId="0">
      <alignment wrapText="1"/>
    </xf>
    <xf numFmtId="0" fontId="22" fillId="0" borderId="0" applyAlignment="1" pivotButton="0" quotePrefix="0" xfId="0">
      <alignment vertical="top" wrapText="1"/>
    </xf>
    <xf numFmtId="0" fontId="22" fillId="15" borderId="0" applyAlignment="1" pivotButton="0" quotePrefix="0" xfId="0">
      <alignment vertical="top" wrapText="1"/>
    </xf>
    <xf numFmtId="0" fontId="8" fillId="17" borderId="0" pivotButton="0" quotePrefix="0" xfId="0"/>
    <xf numFmtId="0" fontId="23" fillId="14" borderId="0" applyAlignment="1" pivotButton="0" quotePrefix="0" xfId="0">
      <alignment vertical="top" wrapText="1"/>
    </xf>
    <xf numFmtId="0" fontId="7" fillId="13" borderId="0" pivotButton="0" quotePrefix="0" xfId="0"/>
    <xf numFmtId="164" fontId="0" fillId="0" borderId="0" pivotButton="0" quotePrefix="0" xfId="0"/>
    <xf numFmtId="0" fontId="24" fillId="13" borderId="0" applyAlignment="1" pivotButton="0" quotePrefix="0" xfId="0">
      <alignment vertical="center"/>
    </xf>
    <xf numFmtId="0" fontId="25" fillId="18" borderId="0" applyAlignment="1" pivotButton="0" quotePrefix="0" xfId="0">
      <alignment vertical="center" wrapText="1"/>
    </xf>
    <xf numFmtId="0" fontId="7" fillId="13" borderId="5" applyAlignment="1" pivotButton="0" quotePrefix="0" xfId="0">
      <alignment horizontal="center" vertical="center" wrapText="1"/>
    </xf>
    <xf numFmtId="0" fontId="0" fillId="19" borderId="0" applyAlignment="1" pivotButton="0" quotePrefix="0" xfId="0">
      <alignment vertical="top" wrapText="1"/>
    </xf>
    <xf numFmtId="164" fontId="0" fillId="19" borderId="0" applyAlignment="1" pivotButton="0" quotePrefix="0" xfId="0">
      <alignment vertical="top" wrapText="1"/>
    </xf>
    <xf numFmtId="164" fontId="0" fillId="14" borderId="0" applyAlignment="1" pivotButton="0" quotePrefix="0" xfId="0">
      <alignment vertical="top" wrapText="1"/>
    </xf>
    <xf numFmtId="0" fontId="27" fillId="16" borderId="0" applyAlignment="1" pivotButton="0" quotePrefix="0" xfId="0">
      <alignment vertical="center" wrapText="1"/>
    </xf>
    <xf numFmtId="0" fontId="0" fillId="16" borderId="6" applyAlignment="1" pivotButton="0" quotePrefix="0" xfId="0">
      <alignment vertical="top" wrapText="1"/>
    </xf>
    <xf numFmtId="164" fontId="0" fillId="16" borderId="6" applyAlignment="1" pivotButton="0" quotePrefix="0" xfId="0">
      <alignment vertical="top" wrapText="1"/>
    </xf>
    <xf numFmtId="0" fontId="0" fillId="14" borderId="6" applyAlignment="1" pivotButton="0" quotePrefix="0" xfId="0">
      <alignment vertical="top" wrapText="1"/>
    </xf>
    <xf numFmtId="164" fontId="0" fillId="14" borderId="6" applyAlignment="1" pivotButton="0" quotePrefix="0" xfId="0">
      <alignment vertical="top" wrapText="1"/>
    </xf>
    <xf numFmtId="0" fontId="0" fillId="15" borderId="6" applyAlignment="1" pivotButton="0" quotePrefix="0" xfId="0">
      <alignment vertical="top" wrapText="1"/>
    </xf>
    <xf numFmtId="164" fontId="0" fillId="15" borderId="6" applyAlignment="1" pivotButton="0" quotePrefix="0" xfId="0">
      <alignment vertical="top" wrapText="1"/>
    </xf>
    <xf numFmtId="0" fontId="26" fillId="14" borderId="0" applyAlignment="1" pivotButton="0" quotePrefix="0" xfId="0">
      <alignment vertical="center" wrapText="1"/>
    </xf>
    <xf numFmtId="0" fontId="0" fillId="20" borderId="0" applyAlignment="1" pivotButton="0" quotePrefix="0" xfId="0">
      <alignment vertical="top" wrapText="1"/>
    </xf>
    <xf numFmtId="164" fontId="10" fillId="20" borderId="0" applyAlignment="1" pivotButton="0" quotePrefix="0" xfId="0">
      <alignment vertical="top" wrapText="1"/>
    </xf>
    <xf numFmtId="0" fontId="27" fillId="16" borderId="0" applyAlignment="1" pivotButton="0" quotePrefix="0" xfId="0">
      <alignment vertical="top" wrapText="1"/>
    </xf>
    <xf numFmtId="0" fontId="20" fillId="13" borderId="0" applyAlignment="1" pivotButton="0" quotePrefix="0" xfId="0">
      <alignment vertical="center"/>
    </xf>
    <xf numFmtId="0" fontId="28" fillId="0" borderId="0" applyAlignment="1" pivotButton="0" quotePrefix="0" xfId="0">
      <alignment vertical="top" wrapText="1"/>
    </xf>
    <xf numFmtId="0" fontId="0" fillId="0" borderId="5" applyAlignment="1" pivotButton="0" quotePrefix="0" xfId="0">
      <alignment vertical="top" wrapText="1"/>
    </xf>
    <xf numFmtId="0" fontId="4" fillId="0" borderId="5" applyAlignment="1" pivotButton="0" quotePrefix="0" xfId="0">
      <alignment vertical="top" wrapText="1"/>
    </xf>
    <xf numFmtId="169" fontId="4" fillId="0" borderId="5" applyAlignment="1" pivotButton="0" quotePrefix="0" xfId="0">
      <alignment vertical="top" wrapText="1"/>
    </xf>
    <xf numFmtId="169" fontId="10" fillId="0" borderId="5" applyAlignment="1" pivotButton="0" quotePrefix="0" xfId="0">
      <alignment vertical="top" wrapText="1"/>
    </xf>
    <xf numFmtId="0" fontId="9" fillId="0" borderId="5" applyAlignment="1" pivotButton="0" quotePrefix="0" xfId="0">
      <alignment vertical="top" wrapText="1"/>
    </xf>
    <xf numFmtId="169" fontId="8" fillId="0" borderId="0" pivotButton="0" quotePrefix="0" xfId="0"/>
    <xf numFmtId="0" fontId="0" fillId="21" borderId="5" applyAlignment="1" pivotButton="0" quotePrefix="0" xfId="0">
      <alignment vertical="top" wrapText="1"/>
    </xf>
    <xf numFmtId="169" fontId="6" fillId="21" borderId="5" applyAlignment="1" pivotButton="0" quotePrefix="0" xfId="0">
      <alignment vertical="top" wrapText="1"/>
    </xf>
    <xf numFmtId="169" fontId="4" fillId="21" borderId="5" applyAlignment="1" pivotButton="0" quotePrefix="0" xfId="0">
      <alignment vertical="top" wrapText="1"/>
    </xf>
    <xf numFmtId="169" fontId="29" fillId="21" borderId="5" applyAlignment="1" pivotButton="0" quotePrefix="0" xfId="0">
      <alignment vertical="top" wrapText="1"/>
    </xf>
    <xf numFmtId="169" fontId="0" fillId="21" borderId="5" applyAlignment="1" pivotButton="0" quotePrefix="0" xfId="0">
      <alignment vertical="top" wrapText="1"/>
    </xf>
    <xf numFmtId="0" fontId="30" fillId="21" borderId="5" applyAlignment="1" pivotButton="0" quotePrefix="0" xfId="0">
      <alignment vertical="top" wrapText="1"/>
    </xf>
    <xf numFmtId="169" fontId="0" fillId="0" borderId="0" pivotButton="0" quotePrefix="0" xfId="0"/>
    <xf numFmtId="0" fontId="0" fillId="16" borderId="5" applyAlignment="1" pivotButton="0" quotePrefix="0" xfId="0">
      <alignment vertical="top" wrapText="1"/>
    </xf>
    <xf numFmtId="169" fontId="6" fillId="16" borderId="5" applyAlignment="1" pivotButton="0" quotePrefix="0" xfId="0">
      <alignment vertical="top" wrapText="1"/>
    </xf>
    <xf numFmtId="169" fontId="4" fillId="16" borderId="5" applyAlignment="1" pivotButton="0" quotePrefix="0" xfId="0">
      <alignment vertical="top" wrapText="1"/>
    </xf>
    <xf numFmtId="169" fontId="27" fillId="16" borderId="5" applyAlignment="1" pivotButton="0" quotePrefix="0" xfId="0">
      <alignment vertical="top" wrapText="1"/>
    </xf>
    <xf numFmtId="169" fontId="0" fillId="16" borderId="5" applyAlignment="1" pivotButton="0" quotePrefix="0" xfId="0">
      <alignment vertical="top" wrapText="1"/>
    </xf>
    <xf numFmtId="0" fontId="30" fillId="16" borderId="5" applyAlignment="1" pivotButton="0" quotePrefix="0" xfId="0">
      <alignment vertical="top" wrapText="1"/>
    </xf>
    <xf numFmtId="0" fontId="0" fillId="20" borderId="5" applyAlignment="1" pivotButton="0" quotePrefix="0" xfId="0">
      <alignment vertical="top" wrapText="1"/>
    </xf>
    <xf numFmtId="169" fontId="4" fillId="20" borderId="5" applyAlignment="1" pivotButton="0" quotePrefix="0" xfId="0">
      <alignment vertical="top" wrapText="1"/>
    </xf>
    <xf numFmtId="0" fontId="9" fillId="20" borderId="5" applyAlignment="1" pivotButton="0" quotePrefix="0" xfId="0">
      <alignment vertical="top" wrapText="1"/>
    </xf>
    <xf numFmtId="0" fontId="29" fillId="14" borderId="0" pivotButton="0" quotePrefix="0" xfId="0"/>
    <xf numFmtId="170" fontId="31" fillId="14" borderId="0" pivotButton="0" quotePrefix="0" xfId="0"/>
    <xf numFmtId="170" fontId="29" fillId="21" borderId="5" applyAlignment="1" pivotButton="0" quotePrefix="0" xfId="0">
      <alignment vertical="top" wrapText="1"/>
    </xf>
    <xf numFmtId="170" fontId="0" fillId="21" borderId="5" applyAlignment="1" pivotButton="0" quotePrefix="0" xfId="0">
      <alignment vertical="top" wrapText="1"/>
    </xf>
    <xf numFmtId="0" fontId="27" fillId="16" borderId="5" applyAlignment="1" pivotButton="0" quotePrefix="0" xfId="0">
      <alignment vertical="top" wrapText="1"/>
    </xf>
    <xf numFmtId="170" fontId="0" fillId="0" borderId="0" pivotButton="0" quotePrefix="0" xfId="0"/>
    <xf numFmtId="0" fontId="29" fillId="14" borderId="5" applyAlignment="1" pivotButton="0" quotePrefix="0" xfId="0">
      <alignment vertical="top" wrapText="1"/>
    </xf>
    <xf numFmtId="170" fontId="27" fillId="16" borderId="5" applyAlignment="1" pivotButton="0" quotePrefix="0" xfId="0">
      <alignment vertical="top" wrapText="1"/>
    </xf>
    <xf numFmtId="170" fontId="0" fillId="16" borderId="5" applyAlignment="1" pivotButton="0" quotePrefix="0" xfId="0">
      <alignment vertical="top" wrapText="1"/>
    </xf>
    <xf numFmtId="0" fontId="21" fillId="15" borderId="5" applyAlignment="1" pivotButton="0" quotePrefix="0" xfId="0">
      <alignment vertical="top" wrapText="1"/>
    </xf>
    <xf numFmtId="170" fontId="4" fillId="0" borderId="5" applyAlignment="1" pivotButton="0" quotePrefix="0" xfId="0">
      <alignment vertical="top" wrapText="1"/>
    </xf>
    <xf numFmtId="0" fontId="7" fillId="13" borderId="0" applyAlignment="1" pivotButton="0" quotePrefix="0" xfId="0">
      <alignment vertical="top" wrapText="1"/>
    </xf>
    <xf numFmtId="0" fontId="8" fillId="0" borderId="0" applyAlignment="1" pivotButton="0" quotePrefix="0" xfId="0">
      <alignment vertical="top" wrapText="1"/>
    </xf>
    <xf numFmtId="169" fontId="0" fillId="0" borderId="0" applyAlignment="1" pivotButton="0" quotePrefix="0" xfId="0">
      <alignment vertical="top" wrapText="1"/>
    </xf>
    <xf numFmtId="0" fontId="17" fillId="0" borderId="0" applyAlignment="1" pivotButton="0" quotePrefix="0" xfId="1">
      <alignment vertical="top" wrapText="1"/>
    </xf>
    <xf numFmtId="0" fontId="0" fillId="11" borderId="5" applyAlignment="1" pivotButton="0" quotePrefix="0" xfId="0">
      <alignment vertical="top" wrapText="1"/>
    </xf>
    <xf numFmtId="0" fontId="0" fillId="22" borderId="5" applyAlignment="1" pivotButton="0" quotePrefix="0" xfId="0">
      <alignment vertical="top" wrapText="1"/>
    </xf>
    <xf numFmtId="0" fontId="0" fillId="8" borderId="5" applyAlignment="1" pivotButton="0" quotePrefix="0" xfId="0">
      <alignment vertical="top" wrapText="1"/>
    </xf>
    <xf numFmtId="0" fontId="0" fillId="0" borderId="7" pivotButton="0" quotePrefix="0" xfId="0"/>
    <xf numFmtId="0" fontId="0" fillId="0" borderId="8" applyAlignment="1" pivotButton="0" quotePrefix="0" xfId="0">
      <alignment vertical="top" wrapText="1"/>
    </xf>
    <xf numFmtId="0" fontId="14" fillId="14" borderId="0" applyAlignment="1" pivotButton="0" quotePrefix="0" xfId="0">
      <alignment vertical="top" wrapText="1"/>
    </xf>
    <xf numFmtId="0" fontId="14" fillId="16" borderId="0" applyAlignment="1" pivotButton="0" quotePrefix="0" xfId="0">
      <alignment vertical="top" wrapText="1"/>
    </xf>
    <xf numFmtId="0" fontId="32" fillId="14" borderId="0" applyAlignment="1" pivotButton="0" quotePrefix="0" xfId="0">
      <alignment vertical="top" wrapText="1"/>
    </xf>
    <xf numFmtId="0" fontId="33" fillId="0" borderId="0" applyAlignment="1" pivotButton="0" quotePrefix="0" xfId="0">
      <alignment vertical="top" wrapText="1"/>
    </xf>
    <xf numFmtId="0" fontId="34" fillId="0" borderId="0" applyAlignment="1" pivotButton="0" quotePrefix="0" xfId="0">
      <alignment vertical="top" wrapText="1"/>
    </xf>
    <xf numFmtId="0" fontId="20" fillId="10" borderId="0" applyAlignment="1" pivotButton="0" quotePrefix="0" xfId="0">
      <alignment vertical="center"/>
    </xf>
    <xf numFmtId="0" fontId="35" fillId="4" borderId="0" applyAlignment="1" pivotButton="0" quotePrefix="0" xfId="0">
      <alignment vertical="top" wrapText="1"/>
    </xf>
    <xf numFmtId="0" fontId="7" fillId="10" borderId="0" applyAlignment="1" pivotButton="0" quotePrefix="0" xfId="0">
      <alignment vertical="center" wrapText="1"/>
    </xf>
    <xf numFmtId="0" fontId="38" fillId="0" borderId="0" applyAlignment="1" pivotButton="0" quotePrefix="0" xfId="0">
      <alignment vertical="top" wrapText="1"/>
    </xf>
    <xf numFmtId="0" fontId="38" fillId="22" borderId="0" applyAlignment="1" pivotButton="0" quotePrefix="0" xfId="0">
      <alignment vertical="top" wrapText="1"/>
    </xf>
    <xf numFmtId="164" fontId="38" fillId="0" borderId="0" applyAlignment="1" pivotButton="0" quotePrefix="0" xfId="0">
      <alignment vertical="top" wrapText="1"/>
    </xf>
    <xf numFmtId="164" fontId="36" fillId="0" borderId="0" applyAlignment="1" pivotButton="0" quotePrefix="0" xfId="0">
      <alignment vertical="top" wrapText="1"/>
    </xf>
    <xf numFmtId="0" fontId="36" fillId="0" borderId="0" applyAlignment="1" pivotButton="0" quotePrefix="0" xfId="0">
      <alignment vertical="top" wrapText="1"/>
    </xf>
    <xf numFmtId="0" fontId="38" fillId="9" borderId="0" applyAlignment="1" pivotButton="0" quotePrefix="0" xfId="0">
      <alignment vertical="top" wrapText="1"/>
    </xf>
    <xf numFmtId="168" fontId="0" fillId="0" borderId="0" pivotButton="0" quotePrefix="0" xfId="0"/>
    <xf numFmtId="164" fontId="8" fillId="0" borderId="0" pivotButton="0" quotePrefix="0" xfId="0"/>
    <xf numFmtId="0" fontId="37" fillId="0" borderId="0" pivotButton="0" quotePrefix="0" xfId="0"/>
    <xf numFmtId="0" fontId="37" fillId="9" borderId="0" pivotButton="0" quotePrefix="0" xfId="0"/>
    <xf numFmtId="0" fontId="13" fillId="0" borderId="0" applyAlignment="1" pivotButton="0" quotePrefix="0" xfId="0">
      <alignment vertical="top" wrapText="1"/>
    </xf>
    <xf numFmtId="164" fontId="13" fillId="0" borderId="0" applyAlignment="1" pivotButton="0" quotePrefix="0" xfId="0">
      <alignment vertical="top" wrapText="1"/>
    </xf>
    <xf numFmtId="0" fontId="8" fillId="4" borderId="0" applyAlignment="1" pivotButton="0" quotePrefix="0" xfId="0">
      <alignment vertical="top" wrapText="1"/>
    </xf>
    <xf numFmtId="164" fontId="5" fillId="0" borderId="0" applyAlignment="1" pivotButton="0" quotePrefix="0" xfId="0">
      <alignment vertical="top" wrapText="1"/>
    </xf>
    <xf numFmtId="0" fontId="8" fillId="4" borderId="0" pivotButton="0" quotePrefix="0" xfId="0"/>
    <xf numFmtId="168" fontId="5" fillId="0" borderId="0" pivotButton="0" quotePrefix="0" xfId="0"/>
  </cellXfs>
  <cellStyles count="2">
    <cellStyle name="Normal" xfId="0" builtinId="0" hidden="0"/>
    <cellStyle name="Hyperlink" xfId="1" builtinId="8"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BOM cost contribution</a:t>
            </a:r>
          </a:p>
        </rich>
      </tx>
    </title>
    <plotArea>
      <barChart>
        <barDir val="bar"/>
        <grouping val="clustered"/>
        <ser>
          <idx val="0"/>
          <order val="0"/>
          <tx>
            <strRef>
              <f>'BOM_Recommended'!N4</f>
            </strRef>
          </tx>
          <spPr>
            <a:ln xmlns:a="http://schemas.openxmlformats.org/drawingml/2006/main">
              <a:prstDash val="solid"/>
            </a:ln>
          </spPr>
          <cat>
            <numRef>
              <f>'BOM_Recommended'!$F$5:$F$15</f>
            </numRef>
          </cat>
          <val>
            <numRef>
              <f>'BOM_Recommended'!$N$5:$N$15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EUR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Component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Known hardware total by route</a:t>
            </a:r>
          </a:p>
        </rich>
      </tx>
    </title>
    <plotArea>
      <barChart>
        <barDir val="bar"/>
        <grouping val="clustered"/>
        <ser>
          <idx val="0"/>
          <order val="0"/>
          <tx>
            <strRef>
              <f>'HELIX_Budget_Routes'!U4</f>
            </strRef>
          </tx>
          <spPr>
            <a:ln xmlns:a="http://schemas.openxmlformats.org/drawingml/2006/main">
              <a:prstDash val="solid"/>
            </a:ln>
          </spPr>
          <cat>
            <numRef>
              <f>'HELIX_Budget_Routes'!$T$5:$T$14</f>
            </numRef>
          </cat>
          <val>
            <numRef>
              <f>'HELIX_Budget_Routes'!$U$5:$U$14</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EUR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Route</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L5" authorId="0" shapeId="0">
      <text>
        <t>https://audison.com/product/af-m12-14-bit/ | current retail benchmark €1,290</t>
      </text>
    </comment>
    <comment ref="L6" authorId="0" shapeId="0">
      <text>
        <t>https://mbcaraudio.nl/bass-controls/audison-drc-mp-can.html | €179</t>
      </text>
    </comment>
    <comment ref="L7" authorId="0" shapeId="0">
      <text>
        <t>https://www.audiotec-fischer.de/en/match/adaptors-harnesses/pp-tes-1-7b-highland | €129 market price</t>
      </text>
    </comment>
    <comment ref="L8" authorId="0" shapeId="0">
      <text>
        <t>https://www.carhifi-store-buende.de/compose-ci3-k200.2tes4-tesla-model-3-highland | €729</t>
      </text>
    </comment>
    <comment ref="L9" authorId="0" shapeId="0">
      <text>
        <t>https://www.ars24.com/en/helix-ci5-m80fm-s3 | €199</t>
      </text>
    </comment>
    <comment ref="L10" authorId="0" shapeId="0">
      <text>
        <t>https://www.ars24.com/en/helix-ci5-m50fm-s3 | €169</t>
      </text>
    </comment>
    <comment ref="L11" authorId="0" shapeId="0">
      <text>
        <t>https://shop.hfb.audio/produkte-fuers-auto/lautsprecher/831/helix-ci3-m100fm-s3-10cm-mittelton-lautsprecher | €149 pair</t>
      </text>
    </comment>
    <comment ref="L12" authorId="0" shapeId="0">
      <text>
        <t>https://shop.hfb.audio/produkte-fuers-auto/lautsprecher/831/helix-ci3-m100fm-s3-10cm-mittelton-lautsprecher | €149 pair</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9</col>
      <colOff>0</colOff>
      <row>3</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23</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RecommendedBOM" displayName="RecommendedBOM" ref="A4:P15" headerRowCount="1">
  <autoFilter ref="A4:P15"/>
  <tableColumns count="16">
    <tableColumn id="1" name="ID"/>
    <tableColumn id="2" name="Categorie"/>
    <tableColumn id="3" name="Aantal sets"/>
    <tableColumn id="4" name="Speakers in set"/>
    <tableColumn id="5" name="Tesla locatie / functie"/>
    <tableColumn id="6" name="Merk / model"/>
    <tableColumn id="7" name="Impedantie"/>
    <tableColumn id="8" name="RMS / spec"/>
    <tableColumn id="9" name="Fitment / adapter"/>
    <tableColumn id="10" name="Aansturing"/>
    <tableColumn id="11" name="Regio koopadvies"/>
    <tableColumn id="12" name="Eenheidsprijs EUR"/>
    <tableColumn id="13" name="Prijsstatus"/>
    <tableColumn id="14" name="Regeltotaal EUR"/>
    <tableColumn id="15" name="Bron / URL"/>
    <tableColumn id="16" name="Opmerking"/>
  </tableColumns>
  <tableStyleInfo name="TableStyleMedium2" showFirstColumn="0" showLastColumn="0" showRowStripes="1" showColumnStripes="0"/>
</table>
</file>

<file path=xl/tables/table2.xml><?xml version="1.0" encoding="utf-8"?>
<table xmlns="http://schemas.openxmlformats.org/spreadsheetml/2006/main" id="2" name="PriceCompare" displayName="PriceCompare" ref="A4:O21" headerRowCount="1">
  <autoFilter ref="A4:O21"/>
  <tableColumns count="15">
    <tableColumn id="1" name="Product"/>
    <tableColumn id="2" name="Market"/>
    <tableColumn id="3" name="Seller"/>
    <tableColumn id="4" name="Currency"/>
    <tableColumn id="5" name="Listed price"/>
    <tableColumn id="6" name="Qty/MOQ"/>
    <tableColumn id="7" name="VAT in listed?"/>
    <tableColumn id="8" name="FX to EUR"/>
    <tableColumn id="9" name="EUR ex extra VAT"/>
    <tableColumn id="10" name="Indicative NL VAT 21%"/>
    <tableColumn id="11" name="Indicative EUR incl. NL VAT"/>
    <tableColumn id="12" name="Shipping/duty"/>
    <tableColumn id="13" name="Availability / confidence"/>
    <tableColumn id="14" name="Source URL"/>
    <tableColumn id="15" name="Checked"/>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audison.com/bit-drive-3-1/" TargetMode="External" Id="rId1"/><Relationship Type="http://schemas.openxmlformats.org/officeDocument/2006/relationships/hyperlink" Target="https://www.audiotec-fischer.de/en/tools/dsp-pc-tool/download-6" TargetMode="External" Id="rId2"/><Relationship Type="http://schemas.openxmlformats.org/officeDocument/2006/relationships/hyperlink" Target="https://audison.zendesk.com/hc/en-gb/articles/35741332904465-bit-Drive-User-manual" TargetMode="External" Id="rId3"/><Relationship Type="http://schemas.openxmlformats.org/officeDocument/2006/relationships/hyperlink" Target="https://www.audiotec-fischer.de/en/tools/dsp-pc-tool/download-6" TargetMode="External" Id="rId4"/><Relationship Type="http://schemas.openxmlformats.org/officeDocument/2006/relationships/hyperlink" Target="https://audison.zendesk.com/hc/en-gb/articles/35741332904465-bit-Drive-User-manual" TargetMode="External" Id="rId5"/><Relationship Type="http://schemas.openxmlformats.org/officeDocument/2006/relationships/hyperlink" Target="https://www.audiotec-fischer.de/en/tools/dsp-pc-tool/download-6" TargetMode="External" Id="rId6"/><Relationship Type="http://schemas.openxmlformats.org/officeDocument/2006/relationships/hyperlink" Target="https://audison.com/bit-drive-3-1/" TargetMode="External" Id="rId7"/><Relationship Type="http://schemas.openxmlformats.org/officeDocument/2006/relationships/hyperlink" Target="https://www.audiotec-fischer.de/en/tools/dsp-pc-tool/download-6" TargetMode="External" Id="rId8"/><Relationship Type="http://schemas.openxmlformats.org/officeDocument/2006/relationships/hyperlink" Target="https://audison.com/bit-drive-3-1/" TargetMode="External" Id="rId9"/><Relationship Type="http://schemas.openxmlformats.org/officeDocument/2006/relationships/hyperlink" Target="https://www.audiotec-fischer.de/en/tools/dsp-pc-tool/download-6" TargetMode="External" Id="rId10"/></Relationships>
</file>

<file path=xl/worksheets/_rels/sheet4.xml.rels><Relationships xmlns="http://schemas.openxmlformats.org/package/2006/relationships"><Relationship Type="http://schemas.openxmlformats.org/officeDocument/2006/relationships/hyperlink" Target="https://multison.fr/products/audison-af-link-cable-cable-de-liaison-pour-amplificateurs-af-bit-et-af-d" TargetMode="External" Id="rId1"/><Relationship Type="http://schemas.openxmlformats.org/officeDocument/2006/relationships/hyperlink" Target="https://audison.com/" TargetMode="External" Id="rId2"/><Relationship Type="http://schemas.openxmlformats.org/officeDocument/2006/relationships/hyperlink" Target="https://www.audiomativ.de/Car-HiFi-Navigation/Endstufen/1-Kanal/" TargetMode="External" Id="rId3"/><Relationship Type="http://schemas.openxmlformats.org/officeDocument/2006/relationships/hyperlink" Target="https://multison.fr/" TargetMode="External" Id="rId4"/><Relationship Type="http://schemas.openxmlformats.org/officeDocument/2006/relationships/hyperlink" Target="https://audison.com/product/af-m1d/" TargetMode="External" Id="rId5"/><Relationship Type="http://schemas.openxmlformats.org/officeDocument/2006/relationships/hyperlink" Target="https://www.audiomativ.de/Marken-Shop/AUDISON/4-Kanal-Endstufen/" TargetMode="External" Id="rId6"/><Relationship Type="http://schemas.openxmlformats.org/officeDocument/2006/relationships/hyperlink" Target="https://multison.fr/" TargetMode="External" Id="rId7"/><Relationship Type="http://schemas.openxmlformats.org/officeDocument/2006/relationships/hyperlink" Target="https://audison.com/product/af-m4d/" TargetMode="External" Id="rId8"/><Relationship Type="http://schemas.openxmlformats.org/officeDocument/2006/relationships/hyperlink" Target="https://www.autosound24.nl/producten/AUD-DSPAMP-AF-M8-14BIT" TargetMode="External" Id="rId9"/><Relationship Type="http://schemas.openxmlformats.org/officeDocument/2006/relationships/hyperlink" Target="https://www.idealo.de/preisvergleich/OffersOfProduct/203732550_-af-m8-14-bit-audison.html" TargetMode="External" Id="rId10"/><Relationship Type="http://schemas.openxmlformats.org/officeDocument/2006/relationships/hyperlink" Target="https://www.sebastoautoradio.net/amplificateur-8-canaux-dsp-hi-res-audison-af-m8-14bit.html" TargetMode="External" Id="rId11"/><Relationship Type="http://schemas.openxmlformats.org/officeDocument/2006/relationships/hyperlink" Target="https://audison.com/product/af-m8-14-bit/" TargetMode="External" Id="rId12"/><Relationship Type="http://schemas.openxmlformats.org/officeDocument/2006/relationships/hyperlink" Target="https://mbcaraudio.nl/bass-controls/audison-drc-ac.html" TargetMode="External" Id="rId13"/><Relationship Type="http://schemas.openxmlformats.org/officeDocument/2006/relationships/hyperlink" Target="https://www.caraudio-store.de/Pegelfernbedienung" TargetMode="External" Id="rId14"/><Relationship Type="http://schemas.openxmlformats.org/officeDocument/2006/relationships/hyperlink" Target="https://store.elettromedia.com/drc-ac/" TargetMode="External" Id="rId15"/><Relationship Type="http://schemas.openxmlformats.org/officeDocument/2006/relationships/hyperlink" Target="https://audison.com/fr/product/drc-ac/" TargetMode="External" Id="rId16"/><Relationship Type="http://schemas.openxmlformats.org/officeDocument/2006/relationships/hyperlink" Target="https://mbcaraudio.nl/autospecifieke-pasklare-speakersets/focal-ic-t3y-100.html" TargetMode="External" Id="rId17"/><Relationship Type="http://schemas.openxmlformats.org/officeDocument/2006/relationships/hyperlink" Target="https://www.idealo.de/preisvergleich/OffersOfProduct/204105665_-ic-t3y-100-focal.html" TargetMode="External" Id="rId18"/><Relationship Type="http://schemas.openxmlformats.org/officeDocument/2006/relationships/hyperlink" Target="https://www.sebastoautoradio.net/haut-parleurs-2-voies-coaxiaux-specifique-tesla-focal-ic-t3y-100.html" TargetMode="External" Id="rId19"/><Relationship Type="http://schemas.openxmlformats.org/officeDocument/2006/relationships/hyperlink" Target="https://www.focal.com/products/ic-t3y-100" TargetMode="External" Id="rId20"/><Relationship Type="http://schemas.openxmlformats.org/officeDocument/2006/relationships/hyperlink" Target="https://mbcaraudio.nl/autospecifieke-pasklare-speakersets/focal-icc-t3y-100.html" TargetMode="External" Id="rId21"/><Relationship Type="http://schemas.openxmlformats.org/officeDocument/2006/relationships/hyperlink" Target="https://www.idealo.de/preisvergleich/OffersOfProduct/204855027_-inside-icc-t3y-100-focal.html" TargetMode="External" Id="rId22"/><Relationship Type="http://schemas.openxmlformats.org/officeDocument/2006/relationships/hyperlink" Target="https://www.sebastoautoradio.net/voies-centrale-specifique-tesla-focal-icc-t3y-100.html" TargetMode="External" Id="rId23"/><Relationship Type="http://schemas.openxmlformats.org/officeDocument/2006/relationships/hyperlink" Target="https://www.focal.com/products/icc-t3y-100" TargetMode="External" Id="rId24"/><Relationship Type="http://schemas.openxmlformats.org/officeDocument/2006/relationships/hyperlink" Target="https://mbcaraudio.nl/autospecifieke-pasklare-speakersets/focal-is-t3y-100.html" TargetMode="External" Id="rId25"/><Relationship Type="http://schemas.openxmlformats.org/officeDocument/2006/relationships/hyperlink" Target="https://www.idealo.de/preisvergleich/Liste/123511081/focal-t3y.html" TargetMode="External" Id="rId26"/><Relationship Type="http://schemas.openxmlformats.org/officeDocument/2006/relationships/hyperlink" Target="https://www.sebastoautoradio.net/kit-2-voies-specifique-tesla-focal-is-t3y-100.html" TargetMode="External" Id="rId27"/><Relationship Type="http://schemas.openxmlformats.org/officeDocument/2006/relationships/hyperlink" Target="https://www.focal.com/products/is-t3y-100" TargetMode="External" Id="rId28"/><Relationship Type="http://schemas.openxmlformats.org/officeDocument/2006/relationships/hyperlink" Target="https://mbcaraudio.nl/autospecifieke-pasklare-speakersets/focal-iw-t3y-200.html" TargetMode="External" Id="rId29"/><Relationship Type="http://schemas.openxmlformats.org/officeDocument/2006/relationships/hyperlink" Target="https://www.idealo.de/preisvergleich/OffersOfProduct/204855028_-iw-t3y-200-focal.html" TargetMode="External" Id="rId30"/><Relationship Type="http://schemas.openxmlformats.org/officeDocument/2006/relationships/hyperlink" Target="https://www.sebastoautoradio.net/woofer-20-cm-specifique-tesla-focal-iw-t3y-200.html" TargetMode="External" Id="rId31"/><Relationship Type="http://schemas.openxmlformats.org/officeDocument/2006/relationships/hyperlink" Target="https://www.focal.com/products/iw-t3y-200" TargetMode="External" Id="rId32"/><Relationship Type="http://schemas.openxmlformats.org/officeDocument/2006/relationships/hyperlink" Target="https://www.carhifi-store-buende.de/compose-ci3-k200.2tes4-tesla-model-3-highland" TargetMode="External" Id="rId33"/><Relationship Type="http://schemas.openxmlformats.org/officeDocument/2006/relationships/hyperlink" Target="https://www.audiotec-fischer.de/en/helix/" TargetMode="External" Id="rId34"/><Relationship Type="http://schemas.openxmlformats.org/officeDocument/2006/relationships/hyperlink" Target="https://www.acr-helmond.nl/" TargetMode="External" Id="rId35"/><Relationship Type="http://schemas.openxmlformats.org/officeDocument/2006/relationships/hyperlink" Target="https://www.carhifi-store-buende.de/endstufen/" TargetMode="External" Id="rId36"/><Relationship Type="http://schemas.openxmlformats.org/officeDocument/2006/relationships/hyperlink" Target="https://www.caraudio.nl/artikel/helix/helix-v-eighteen-dsp-18-kanaals-versterker-met-20-kanaals-dsp-heveighteen" TargetMode="External" Id="rId37"/><Relationship Type="http://schemas.openxmlformats.org/officeDocument/2006/relationships/hyperlink" Target="https://www.ars24.com/en/helix-verstaerker-made-in-germany" TargetMode="External" Id="rId38"/><Relationship Type="http://schemas.openxmlformats.org/officeDocument/2006/relationships/hyperlink" Target="https://www.audiotec-fischer.de/en/helix/" TargetMode="External" Id="rId39"/><Relationship Type="http://schemas.openxmlformats.org/officeDocument/2006/relationships/hyperlink" Target="https://www.caraudio.nl/artikel/match/match-pp-tes-1-7b-highland-kabelset-voor-tesla-model-3-highland-y-juniper-met-base-audio-mapptes17bhl" TargetMode="External" Id="rId40"/><Relationship Type="http://schemas.openxmlformats.org/officeDocument/2006/relationships/hyperlink" Target="https://www.caraudio-store.de/Match-PP-TES-17B-Highland" TargetMode="External" Id="rId41"/><Relationship Type="http://schemas.openxmlformats.org/officeDocument/2006/relationships/hyperlink" Target="https://www.audiotec-fischer.de/en/match/adaptors-harnesses/pp-tes-1-7b-highland" TargetMode="External" Id="rId42"/><Relationship Type="http://schemas.openxmlformats.org/officeDocument/2006/relationships/hyperlink" Target="https://pioneer-car.eu/nl/nl/ts-wx1220ah/ts-wx1220ah" TargetMode="External" Id="rId43"/><Relationship Type="http://schemas.openxmlformats.org/officeDocument/2006/relationships/hyperlink" Target="https://www.autosound24.nl/producten/AUD-DSPAMP-AF-M12-14BIT" TargetMode="External" Id="rId44"/><Relationship Type="http://schemas.openxmlformats.org/officeDocument/2006/relationships/hyperlink" Target="https://www.idealo.de/preisvergleich/OffersOfProduct/203736270_-af-m12-14-bit-audison.html" TargetMode="External" Id="rId45"/><Relationship Type="http://schemas.openxmlformats.org/officeDocument/2006/relationships/hyperlink" Target="https://store.elettromedia.com/af-m12-14-bit/" TargetMode="External" Id="rId46"/><Relationship Type="http://schemas.openxmlformats.org/officeDocument/2006/relationships/hyperlink" Target="https://audison.com/" TargetMode="External" Id="rId47"/><Relationship Type="http://schemas.openxmlformats.org/officeDocument/2006/relationships/hyperlink" Target="https://mbcaraudio.nl/bass-controls/audison-drc-mp-can.html" TargetMode="External" Id="rId48"/><Relationship Type="http://schemas.openxmlformats.org/officeDocument/2006/relationships/hyperlink" Target="https://audison.com/" TargetMode="External" Id="rId49"/><Relationship Type="http://schemas.openxmlformats.org/officeDocument/2006/relationships/hyperlink" Target="https://www.caraudio.nl/assortiment/helix" TargetMode="External" Id="rId50"/><Relationship Type="http://schemas.openxmlformats.org/officeDocument/2006/relationships/hyperlink" Target="https://www.idealo.de/" TargetMode="External" Id="rId51"/><Relationship Type="http://schemas.openxmlformats.org/officeDocument/2006/relationships/hyperlink" Target="https://www.audiotec-fischer.de/en/helix/" TargetMode="External" Id="rId52"/><Relationship Type="http://schemas.openxmlformats.org/officeDocument/2006/relationships/hyperlink" Target="https://www.caraudio.nl/assortiment/helix" TargetMode="External" Id="rId53"/><Relationship Type="http://schemas.openxmlformats.org/officeDocument/2006/relationships/hyperlink" Target="https://www.ars24.com/en/6-kanal-verstaerker/auto-endstufen" TargetMode="External" Id="rId54"/><Relationship Type="http://schemas.openxmlformats.org/officeDocument/2006/relationships/hyperlink" Target="https://www.audiotec-fischer.de/en/helix/" TargetMode="External" Id="rId55"/><Relationship Type="http://schemas.openxmlformats.org/officeDocument/2006/relationships/hyperlink" Target="https://www.ars24.com/en/helix-amplify-206-dsp" TargetMode="External" Id="rId56"/><Relationship Type="http://schemas.openxmlformats.org/officeDocument/2006/relationships/hyperlink" Target="https://www.ars24.com/en/helix-amplify-206-dsp" TargetMode="External" Id="rId57"/><Relationship Type="http://schemas.openxmlformats.org/officeDocument/2006/relationships/hyperlink" Target="https://www.audiotec-fischer.de/en/helix/" TargetMode="External" Id="rId58"/><Relationship Type="http://schemas.openxmlformats.org/officeDocument/2006/relationships/hyperlink" Target="https://www.carhifi-store-buende.de/helix-ci3-m100fm-s3" TargetMode="External" Id="rId59"/><Relationship Type="http://schemas.openxmlformats.org/officeDocument/2006/relationships/hyperlink" Target="https://www.type-rsound.com/en/helix-ci3-m100fm-s3.html" TargetMode="External" Id="rId60"/><Relationship Type="http://schemas.openxmlformats.org/officeDocument/2006/relationships/hyperlink" Target="https://www.audiotec-fischer.de/en/helix/" TargetMode="External" Id="rId61"/><Relationship Type="http://schemas.openxmlformats.org/officeDocument/2006/relationships/hyperlink" Target="https://www.carhifi-store-buende.de/helix-ci5-m80fm-s3" TargetMode="External" Id="rId62"/><Relationship Type="http://schemas.openxmlformats.org/officeDocument/2006/relationships/hyperlink" Target="https://www.audiotec-fischer.de/en/helix/" TargetMode="External" Id="rId63"/><Relationship Type="http://schemas.openxmlformats.org/officeDocument/2006/relationships/hyperlink" Target="https://www.carhifi-store-buende.de/lautsprecher/helix-compose/helix-compose-i7/" TargetMode="External" Id="rId64"/><Relationship Type="http://schemas.openxmlformats.org/officeDocument/2006/relationships/hyperlink" Target="https://www.audiotec-fischer.de/en/helix/" TargetMode="External" Id="rId65"/><Relationship Type="http://schemas.openxmlformats.org/officeDocument/2006/relationships/hyperlink" Target="https://www.carhifi-store-buende.de/helix-ci7-t20fm-sc" TargetMode="External" Id="rId66"/><Relationship Type="http://schemas.openxmlformats.org/officeDocument/2006/relationships/hyperlink" Target="https://www.audiotec-fischer.de/en/helix/" TargetMode="External" Id="rId67"/><Relationship Type="http://schemas.openxmlformats.org/officeDocument/2006/relationships/hyperlink" Target="https://www.carhifi-store-buende.de/lautsprecher/helix-compose/helix-compose-i7/" TargetMode="External" Id="rId68"/><Relationship Type="http://schemas.openxmlformats.org/officeDocument/2006/relationships/hyperlink" Target="https://www.audiotec-fischer.de/en/helix/" TargetMode="External" Id="rId69"/><Relationship Type="http://schemas.openxmlformats.org/officeDocument/2006/relationships/hyperlink" Target="https://www.caraudio.nl/assortiment/helix" TargetMode="External" Id="rId70"/><Relationship Type="http://schemas.openxmlformats.org/officeDocument/2006/relationships/hyperlink" Target="https://www.ars24.com/en/helix-director-for-scp" TargetMode="External" Id="rId71"/><Relationship Type="http://schemas.openxmlformats.org/officeDocument/2006/relationships/hyperlink" Target="https://www.ars24.com/en/helix-director-for-scp" TargetMode="External" Id="rId72"/><Relationship Type="http://schemas.openxmlformats.org/officeDocument/2006/relationships/hyperlink" Target="https://www.audiotec-fischer.de/en/helix/" TargetMode="External" Id="rId73"/><Relationship Type="http://schemas.openxmlformats.org/officeDocument/2006/relationships/hyperlink" Target="https://www.caraudio.nl/assortiment/helix" TargetMode="External" Id="rId74"/><Relationship Type="http://schemas.openxmlformats.org/officeDocument/2006/relationships/hyperlink" Target="https://www.carhifi-store-buende.de/endstufen/helix/" TargetMode="External" Id="rId75"/><Relationship Type="http://schemas.openxmlformats.org/officeDocument/2006/relationships/hyperlink" Target="https://www.audiotec-fischer.de/en/helix/" TargetMode="External" Id="rId76"/><Relationship Type="http://schemas.openxmlformats.org/officeDocument/2006/relationships/hyperlink" Target="https://www.caraudio.nl/assortiment/helix" TargetMode="External" Id="rId77"/><Relationship Type="http://schemas.openxmlformats.org/officeDocument/2006/relationships/hyperlink" Target="https://www.carhifi-store-buende.de/helix-m-one-x" TargetMode="External" Id="rId78"/><Relationship Type="http://schemas.openxmlformats.org/officeDocument/2006/relationships/hyperlink" Target="https://www.audiotec-fischer.de/en/helix/" TargetMode="External" Id="rId79"/><Relationship Type="http://schemas.openxmlformats.org/officeDocument/2006/relationships/hyperlink" Target="https://www.acr-helmond.nl/" TargetMode="External" Id="rId80"/><Relationship Type="http://schemas.openxmlformats.org/officeDocument/2006/relationships/hyperlink" Target="https://www.caraudio-store.de/DSP-Verstaerker" TargetMode="External" Id="rId81"/><Relationship Type="http://schemas.openxmlformats.org/officeDocument/2006/relationships/hyperlink" Target="https://www.type-rsound.com/fr/categories/audio-de-voiture/amplificateur/8-canaux.html" TargetMode="External" Id="rId82"/><Relationship Type="http://schemas.openxmlformats.org/officeDocument/2006/relationships/hyperlink" Target="https://www.audiotec-fischer.de/en/helix/" TargetMode="External" Id="rId83"/><Relationship Type="http://schemas.openxmlformats.org/officeDocument/2006/relationships/hyperlink" Target="https://www.acr-helmond.nl/helix-v-twelve-dsp-mk2.htm" TargetMode="External" Id="rId84"/><Relationship Type="http://schemas.openxmlformats.org/officeDocument/2006/relationships/hyperlink" Target="https://www.caraudio-store.de/Helix-V-TWELVE-DSP-MK2" TargetMode="External" Id="rId85"/><Relationship Type="http://schemas.openxmlformats.org/officeDocument/2006/relationships/hyperlink" Target="https://www.caraudio.nl/assortiment/helix" TargetMode="External" Id="rId86"/><Relationship Type="http://schemas.openxmlformats.org/officeDocument/2006/relationships/hyperlink" Target="https://www.ars24.com/en/helix-v-twelve-dsp-mk2" TargetMode="External" Id="rId87"/><Relationship Type="http://schemas.openxmlformats.org/officeDocument/2006/relationships/hyperlink" Target="https://www.audiotec-fischer.de/en/helix/" TargetMode="External" Id="rId88"/><Relationship Type="http://schemas.openxmlformats.org/officeDocument/2006/relationships/hyperlink" Target="https://www.caraudio.nl/artikel/match-up-10dsp-mk2-10-kanaals-dsp-versterker-maup10dspmk2" TargetMode="External" Id="rId89"/><Relationship Type="http://schemas.openxmlformats.org/officeDocument/2006/relationships/hyperlink" Target="https://www.ars24.com/en/match-up10dsp-mk2" TargetMode="External" Id="rId90"/><Relationship Type="http://schemas.openxmlformats.org/officeDocument/2006/relationships/hyperlink" Target="https://www.audiotec-fischer.de/en/match/" TargetMode="External" Id="rId91"/><Relationship Type="http://schemas.openxmlformats.org/officeDocument/2006/relationships/hyperlink" Target="https://www.caraudio.nl/assortiment/match" TargetMode="External" Id="rId92"/><Relationship Type="http://schemas.openxmlformats.org/officeDocument/2006/relationships/hyperlink" Target="https://www.ars24.com/en/match-up1fx" TargetMode="External" Id="rId93"/><Relationship Type="http://schemas.openxmlformats.org/officeDocument/2006/relationships/hyperlink" Target="https://www.ars24.com/en/match-up1fx" TargetMode="External" Id="rId94"/><Relationship Type="http://schemas.openxmlformats.org/officeDocument/2006/relationships/hyperlink" Target="https://www.audiotec-fischer.de/en/match/" TargetMode="External" Id="rId95"/><Relationship Type="http://schemas.openxmlformats.org/officeDocument/2006/relationships/hyperlink" Target="https://mbcaraudio.nl/87-cm-/audison-ap-2-mv.html" TargetMode="External" Id="rId96"/><Relationship Type="http://schemas.openxmlformats.org/officeDocument/2006/relationships/hyperlink" Target="https://audison.com/" TargetMode="External" Id="rId97"/><Relationship Type="http://schemas.openxmlformats.org/officeDocument/2006/relationships/hyperlink" Target="https://audison.com/" TargetMode="External" Id="rId98"/><Relationship Type="http://schemas.openxmlformats.org/officeDocument/2006/relationships/hyperlink" Target="https://audison.com/" TargetMode="External" Id="rId99"/><Relationship Type="http://schemas.openxmlformats.org/officeDocument/2006/relationships/hyperlink" Target="https://audison.com/" TargetMode="External" Id="rId100"/><Relationship Type="http://schemas.openxmlformats.org/officeDocument/2006/relationships/hyperlink" Target="https://www.caraudio.nl/assortiment/boxmore" TargetMode="External" Id="rId101"/><Relationship Type="http://schemas.openxmlformats.org/officeDocument/2006/relationships/hyperlink" Target="https://www.caraudio.nl/assortiment/boxmore" TargetMode="External" Id="rId102"/><Relationship Type="http://schemas.openxmlformats.org/officeDocument/2006/relationships/hyperlink" Target="https://www.caraudio.nl/artikel/boxmore-bxs-m100fl-s3-1-100-mm-shallow-midrange-set-bxsm100fls3_1" TargetMode="External" Id="rId103"/><Relationship Type="http://schemas.openxmlformats.org/officeDocument/2006/relationships/hyperlink" Target="https://www.caraudio.nl/artikel/boxmore-bxs-t20rc-1-20-mm-soft-dome-tweeters-set-bxst20rc_1" TargetMode="External" Id="rId104"/><Relationship Type="http://schemas.openxmlformats.org/officeDocument/2006/relationships/hyperlink" Target="https://www.caraudio.nl/artikel/boxmore/boxmore-bxs-w200-s3-1-specialist-200-mm-woofer-set-bxsw200s3_1" TargetMode="External" Id="rId105"/><Relationship Type="http://schemas.openxmlformats.org/officeDocument/2006/relationships/hyperlink" Target="https://mbcaraudio.nl/autospecifieke-producten/tesla-autospecifieke-producten-en-accessoires/automodel-typenummer-en-bouwjaar-selectie-tesla/tesla-model-3-facelift-bouwjaar-2023-" TargetMode="External" Id="rId106"/><Relationship Type="http://schemas.openxmlformats.org/officeDocument/2006/relationships/hyperlink" Target="https://dls.se/" TargetMode="External" Id="rId107"/><Relationship Type="http://schemas.openxmlformats.org/officeDocument/2006/relationships/hyperlink" Target="https://mbcaraudio.nl/autospecifieke-producten/tesla-autospecifieke-producten-en-accessoires/automodel-typenummer-en-bouwjaar-selectie-tesla/tesla-model-3-facelift-bouwjaar-2023-" TargetMode="External" Id="rId108"/><Relationship Type="http://schemas.openxmlformats.org/officeDocument/2006/relationships/hyperlink" Target="https://dls.se/" TargetMode="External" Id="rId109"/><Relationship Type="http://schemas.openxmlformats.org/officeDocument/2006/relationships/hyperlink" Target="https://www.idealo.de/" TargetMode="External" Id="rId110"/><Relationship Type="http://schemas.openxmlformats.org/officeDocument/2006/relationships/hyperlink" Target="https://www.esxaudio.de/english/" TargetMode="External" Id="rId111"/><Relationship Type="http://schemas.openxmlformats.org/officeDocument/2006/relationships/hyperlink" Target="https://www.esxaudio.de/english/tes3yset2.html" TargetMode="External" Id="rId112"/><Relationship Type="http://schemas.openxmlformats.org/officeDocument/2006/relationships/hyperlink" Target="https://www.esxaudio.de/english/" TargetMode="External" Id="rId113"/><Relationship Type="http://schemas.openxmlformats.org/officeDocument/2006/relationships/hyperlink" Target="https://www.esxaudio.de/" TargetMode="External" Id="rId114"/><Relationship Type="http://schemas.openxmlformats.org/officeDocument/2006/relationships/hyperlink" Target="https://www.esxaudio.de/english/" TargetMode="External" Id="rId115"/><Relationship Type="http://schemas.openxmlformats.org/officeDocument/2006/relationships/hyperlink" Target="https://mbcaraudio.nl/car-audio-producten/speakers-acc/87-cm-" TargetMode="External" Id="rId116"/><Relationship Type="http://schemas.openxmlformats.org/officeDocument/2006/relationships/hyperlink" Target="https://www.focal.com/products/3-km" TargetMode="External" Id="rId117"/><Relationship Type="http://schemas.openxmlformats.org/officeDocument/2006/relationships/hyperlink" Target="https://mbcaraudio.nl/car-audio-producten/speakers-acc/87-cm-" TargetMode="External" Id="rId118"/><Relationship Type="http://schemas.openxmlformats.org/officeDocument/2006/relationships/hyperlink" Target="https://www.mediamarkt.de/de/product/_ground-zero-gzrm-80sq-autolautsprecher-151306218.html" TargetMode="External" Id="rId119"/><Relationship Type="http://schemas.openxmlformats.org/officeDocument/2006/relationships/hyperlink" Target="https://mbcaraudio.nl/87-cm-/ground-zero-gzuf-60sq-a.html" TargetMode="External" Id="rId120"/><Relationship Type="http://schemas.openxmlformats.org/officeDocument/2006/relationships/hyperlink" Target="https://www.audiotec-fischer.de/en/helix/" TargetMode="External" Id="rId121"/><Relationship Type="http://schemas.openxmlformats.org/officeDocument/2006/relationships/hyperlink" Target="https://www.audiotec-fischer.de/en/helix/" TargetMode="External" Id="rId122"/><Relationship Type="http://schemas.openxmlformats.org/officeDocument/2006/relationships/hyperlink" Target="https://www.audiotec-fischer.de/en/helix/" TargetMode="External" Id="rId123"/><Relationship Type="http://schemas.openxmlformats.org/officeDocument/2006/relationships/hyperlink" Target="https://www.carhifi-store-buende.de/helix-ci5-m50fm-s3" TargetMode="External" Id="rId124"/><Relationship Type="http://schemas.openxmlformats.org/officeDocument/2006/relationships/hyperlink" Target="https://www.audiotec-fischer.de/en/helix/" TargetMode="External" Id="rId125"/><Relationship Type="http://schemas.openxmlformats.org/officeDocument/2006/relationships/hyperlink" Target="https://www.caraudio-store.de/Helix_s3" TargetMode="External" Id="rId126"/><Relationship Type="http://schemas.openxmlformats.org/officeDocument/2006/relationships/hyperlink" Target="https://www.audiotec-fischer.de/en/helix/" TargetMode="External" Id="rId127"/><Relationship Type="http://schemas.openxmlformats.org/officeDocument/2006/relationships/hyperlink" Target="https://www.audiotec-fischer.de/en/helix/" TargetMode="External" Id="rId128"/><Relationship Type="http://schemas.openxmlformats.org/officeDocument/2006/relationships/hyperlink" Target="https://www.ars24.com/en/helix-v-eight-dsp" TargetMode="External" Id="rId129"/><Relationship Type="http://schemas.openxmlformats.org/officeDocument/2006/relationships/hyperlink" Target="https://www.audiotec-fischer.de/en/helix/" TargetMode="External" Id="rId130"/><Relationship Type="http://schemas.openxmlformats.org/officeDocument/2006/relationships/hyperlink" Target="https://mbcaraudio.nl/" TargetMode="External" Id="rId131"/><Relationship Type="http://schemas.openxmlformats.org/officeDocument/2006/relationships/hyperlink" Target="https://musway.de/" TargetMode="External" Id="rId132"/><Relationship Type="http://schemas.openxmlformats.org/officeDocument/2006/relationships/hyperlink" Target="https://musway.de/english/" TargetMode="External" Id="rId133"/><Relationship Type="http://schemas.openxmlformats.org/officeDocument/2006/relationships/hyperlink" Target="https://musway.de/english/" TargetMode="External" Id="rId134"/><Relationship Type="http://schemas.openxmlformats.org/officeDocument/2006/relationships/hyperlink" Target="https://musway.de/english/tes3yset1.html" TargetMode="External" Id="rId135"/><Relationship Type="http://schemas.openxmlformats.org/officeDocument/2006/relationships/hyperlink" Target="https://musway.de/english/" TargetMode="External" Id="rId136"/></Relationships>
</file>

<file path=xl/worksheets/_rels/sheet6.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mbcaraudio.nl/car-audio-producten/versterkers/versterkers-met-dsp" TargetMode="External" Id="rId1"/><Relationship Type="http://schemas.openxmlformats.org/officeDocument/2006/relationships/hyperlink" Target="https://just-sound.de/Audison-Forza-AF-M1214-bit-12-Kanal-Verstaerker-mit-DSP-180W" TargetMode="External" Id="rId2"/><Relationship Type="http://schemas.openxmlformats.org/officeDocument/2006/relationships/hyperlink" Target="https://www.idealo.de/preisvergleich/OffersOfProduct/203736270_-af-m12-14-bit-audison.html" TargetMode="External" Id="rId3"/><Relationship Type="http://schemas.openxmlformats.org/officeDocument/2006/relationships/hyperlink" Target="https://store.elettromedia.com/af-m12-14-bit/" TargetMode="External" Id="rId4"/><Relationship Type="http://schemas.openxmlformats.org/officeDocument/2006/relationships/hyperlink" Target="https://www.caraudio.nl/artikel/match-up-10dsp-mk2-10-kanaals-dsp-versterker-maup10dspmk2" TargetMode="External" Id="rId5"/><Relationship Type="http://schemas.openxmlformats.org/officeDocument/2006/relationships/hyperlink" Target="https://www.ars24.com/en/match-up10dsp-mk2" TargetMode="External" Id="rId6"/><Relationship Type="http://schemas.openxmlformats.org/officeDocument/2006/relationships/hyperlink" Target="https://www.crutchfield.com/shopsearch/MATCH_UP_10_DSP.html" TargetMode="External" Id="rId7"/><Relationship Type="http://schemas.openxmlformats.org/officeDocument/2006/relationships/hyperlink" Target="https://mbcaraudio.nl/bass-controls/audison-drc-mp-can.html" TargetMode="External" Id="rId8"/><Relationship Type="http://schemas.openxmlformats.org/officeDocument/2006/relationships/hyperlink" Target="https://www.caraudio.nl/artikel/helix-director-remote-control-met-touchscreen-en-scp-aansluiting-hedirectscp" TargetMode="External" Id="rId9"/><Relationship Type="http://schemas.openxmlformats.org/officeDocument/2006/relationships/hyperlink" Target="https://www.caraudio.nl/artikel/match/match-pp-tes-1-7b-highland-kabelset-voor-tesla-model-3-highland-y-juniper-met-base-audio-mapptes17bhl" TargetMode="External" Id="rId10"/><Relationship Type="http://schemas.openxmlformats.org/officeDocument/2006/relationships/hyperlink" Target="https://www.carhifi-store-buende.de/endstufen/" TargetMode="External" Id="rId11"/><Relationship Type="http://schemas.openxmlformats.org/officeDocument/2006/relationships/hyperlink" Target="https://www.carhifi-store-buende.de/compose-ci3-k200.2tes4-tesla-model-3-highland" TargetMode="External" Id="rId12"/><Relationship Type="http://schemas.openxmlformats.org/officeDocument/2006/relationships/hyperlink" Target="https://www.ars24.com/en/helix-ci5-m80fm-s3" TargetMode="External" Id="rId13"/><Relationship Type="http://schemas.openxmlformats.org/officeDocument/2006/relationships/hyperlink" Target="https://www.ars24.com/en/helix-ci5-m50fm-s3" TargetMode="External" Id="rId14"/><Relationship Type="http://schemas.openxmlformats.org/officeDocument/2006/relationships/hyperlink" Target="https://shop.hfb.audio/produkte-fuers-auto/lautsprecher/831/helix-ci3-m100fm-s3-10cm-mittelton-lautsprecher" TargetMode="External" Id="rId15"/><Relationship Type="http://schemas.openxmlformats.org/officeDocument/2006/relationships/hyperlink" Target="https://mtaudio.eu/en/products/helix-ci3-m100fm-s3-mitteltoner" TargetMode="External" Id="rId16"/><Relationship Type="http://schemas.openxmlformats.org/officeDocument/2006/relationships/hyperlink" Target="https://bhyiming.en.made-in-china.com/product/IdetXGaKEOcp/China-Manufacturer-Plug-and-Play-System-Woofer-for-Tesla-Model-3-High-Sound-Quality-8-Inch-Car-Accesssories-Car-Audio-Subwoofers.html" TargetMode="External" Id="rId17"/><Relationship Type="http://schemas.openxmlformats.org/officeDocument/2006/relationships/table" Target="/xl/tables/table2.xml" Id="rId18"/></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_rels/sheet20.xml.rels><Relationships xmlns="http://schemas.openxmlformats.org/package/2006/relationships"><Relationship Type="http://schemas.openxmlformats.org/officeDocument/2006/relationships/hyperlink" Target="https://audison.com/product/af-m1d/" TargetMode="External" Id="rId1"/></Relationships>
</file>

<file path=xl/worksheets/_rels/sheet21.xml.rels><Relationships xmlns="http://schemas.openxmlformats.org/package/2006/relationships"><Relationship Type="http://schemas.openxmlformats.org/officeDocument/2006/relationships/hyperlink" Target="https://service.tesla.com/docs/Model3/ElectricalReference/" TargetMode="External" Id="rId1"/><Relationship Type="http://schemas.openxmlformats.org/officeDocument/2006/relationships/hyperlink" Target="https://www.audiotec-fischer.de/en/match/adaptors-harnesses/pp-tes-1-7b-highland" TargetMode="External" Id="rId2"/><Relationship Type="http://schemas.openxmlformats.org/officeDocument/2006/relationships/hyperlink" Target="https://audison.com/product/af-m12-14-bit/" TargetMode="External" Id="rId3"/><Relationship Type="http://schemas.openxmlformats.org/officeDocument/2006/relationships/hyperlink" Target="https://mbcaraudio.nl/bass-controls/audison-drc-mp-can.html" TargetMode="External" Id="rId4"/><Relationship Type="http://schemas.openxmlformats.org/officeDocument/2006/relationships/hyperlink" Target="https://www.carhifi-store-buende.de/compose-ci3-k200.2tes4-tesla-model-3-highland" TargetMode="External" Id="rId5"/><Relationship Type="http://schemas.openxmlformats.org/officeDocument/2006/relationships/hyperlink" Target="https://www.ars24.com/en/helix-ci5-m80fm-s3" TargetMode="External" Id="rId6"/><Relationship Type="http://schemas.openxmlformats.org/officeDocument/2006/relationships/hyperlink" Target="https://www.ars24.com/en/helix-ci5-m50fm-s3" TargetMode="External" Id="rId7"/><Relationship Type="http://schemas.openxmlformats.org/officeDocument/2006/relationships/hyperlink" Target="https://shop.hfb.audio/produkte-fuers-auto/lautsprecher/831/helix-ci3-m100fm-s3-10cm-mittelton-lautsprecher" TargetMode="External" Id="rId8"/><Relationship Type="http://schemas.openxmlformats.org/officeDocument/2006/relationships/hyperlink" Target="https://www.crutchfield.com/shopsearch/MATCH_UP_10_DSP.html" TargetMode="External" Id="rId9"/><Relationship Type="http://schemas.openxmlformats.org/officeDocument/2006/relationships/hyperlink" Target="https://bhyiming.en.made-in-china.com/product/IdetXGaKEOcp/China-Manufacturer-Plug-and-Play-System-Woofer-for-Tesla-Model-3-High-Sound-Quality-8-Inch-Car-Accesssories-Car-Audio-Subwoofers.html" TargetMode="External" Id="rId10"/><Relationship Type="http://schemas.openxmlformats.org/officeDocument/2006/relationships/hyperlink" Target="https://audison.com/de/tesla/" TargetMode="External" Id="rId11"/><Relationship Type="http://schemas.openxmlformats.org/officeDocument/2006/relationships/hyperlink" Target="https://mbcaraudio.nl/car-audio-producten/versterkers/versterkers-met-dsp" TargetMode="External" Id="rId12"/><Relationship Type="http://schemas.openxmlformats.org/officeDocument/2006/relationships/hyperlink" Target="https://www.idealo.de/preisvergleich/OffersOfProduct/203736270_-af-m12-14-bit-audison.html" TargetMode="External" Id="rId13"/><Relationship Type="http://schemas.openxmlformats.org/officeDocument/2006/relationships/hyperlink" Target="https://mbcaraudio.nl/autospecifieke-producten/tesla-autospecifieke-producten-en-accessoires/automodel-typenummer-en-bouwjaar-selectie-tesla/tesla-model-3-facelift-bouwjaar-2023-" TargetMode="External" Id="rId14"/><Relationship Type="http://schemas.openxmlformats.org/officeDocument/2006/relationships/hyperlink" Target="https://mbcaraudio.nl/autospecifieke-pasklare-speakersets/focal-iw-t3y-200.html" TargetMode="External" Id="rId15"/><Relationship Type="http://schemas.openxmlformats.org/officeDocument/2006/relationships/hyperlink" Target="https://mbcaraudio.nl/autospecifieke-pasklare-speakersets/focal-is-t3y-100.html" TargetMode="External" Id="rId16"/><Relationship Type="http://schemas.openxmlformats.org/officeDocument/2006/relationships/hyperlink" Target="https://mbcaraudio.nl/autospecifieke-pasklare-speakersets/focal-ic-t3y-100.html" TargetMode="External" Id="rId17"/><Relationship Type="http://schemas.openxmlformats.org/officeDocument/2006/relationships/hyperlink" Target="https://mbcaraudio.nl/autospecifieke-pasklare-speakersets/focal-icc-t3y-100.html" TargetMode="External" Id="rId18"/><Relationship Type="http://schemas.openxmlformats.org/officeDocument/2006/relationships/hyperlink" Target="https://www.focal.com/products/3-km" TargetMode="External" Id="rId19"/><Relationship Type="http://schemas.openxmlformats.org/officeDocument/2006/relationships/hyperlink" Target="https://mbcaraudio.nl/car-audio-producten/speakers-acc/87-cm-" TargetMode="External" Id="rId20"/><Relationship Type="http://schemas.openxmlformats.org/officeDocument/2006/relationships/hyperlink" Target="https://mbcaraudio.nl/87-cm-/audison-ap-2-mv.html" TargetMode="External" Id="rId21"/><Relationship Type="http://schemas.openxmlformats.org/officeDocument/2006/relationships/hyperlink" Target="https://audison.com/tesla/" TargetMode="External" Id="rId22"/><Relationship Type="http://schemas.openxmlformats.org/officeDocument/2006/relationships/hyperlink" Target="https://audison.com/product/af-m12-14-bit/" TargetMode="External" Id="rId23"/><Relationship Type="http://schemas.openxmlformats.org/officeDocument/2006/relationships/hyperlink" Target="https://mbcaraudio.nl/10-12-16-en-18-kanaals/audison-af-m1214-bit.html" TargetMode="External" Id="rId24"/><Relationship Type="http://schemas.openxmlformats.org/officeDocument/2006/relationships/hyperlink" Target="https://mbcaraudio.nl/bass-controls/audison-drc-mp-can.html" TargetMode="External" Id="rId25"/><Relationship Type="http://schemas.openxmlformats.org/officeDocument/2006/relationships/hyperlink" Target="https://mbcaraudio.nl/content/contact-informatie" TargetMode="External" Id="rId26"/><Relationship Type="http://schemas.openxmlformats.org/officeDocument/2006/relationships/hyperlink" Target="https://mbcaraudio.nl/content/toelichting-online-prijsstellingen" TargetMode="External" Id="rId27"/><Relationship Type="http://schemas.openxmlformats.org/officeDocument/2006/relationships/hyperlink" Target="https://www.crutchfield.com/shopsearch/focal_inside.html" TargetMode="External" Id="rId28"/><Relationship Type="http://schemas.openxmlformats.org/officeDocument/2006/relationships/hyperlink" Target="https://www.crutchfield.com/shopsearch/flax.html" TargetMode="External" Id="rId29"/><Relationship Type="http://schemas.openxmlformats.org/officeDocument/2006/relationships/hyperlink" Target="https://www.crutchfield.com/p_091ICCT3Y1/Focal-Inside-ICC-T3Y-100.html" TargetMode="External" Id="rId30"/><Relationship Type="http://schemas.openxmlformats.org/officeDocument/2006/relationships/hyperlink" Target="https://www.crutchfield.com/p_091ICT3Y10/Focal-Inside-IC-T3Y-100.html" TargetMode="External" Id="rId31"/><Relationship Type="http://schemas.openxmlformats.org/officeDocument/2006/relationships/hyperlink" Target="https://bhyiming.en.made-in-china.com/product/IdetXGaKEOcp/China-Manufacturer-Plug-and-Play-System-Woofer-for-Tesla-Model-3-High-Sound-Quality-8-Inch-Car-Accesssories-Car-Audio-Subwoofers.html" TargetMode="External" Id="rId32"/><Relationship Type="http://schemas.openxmlformats.org/officeDocument/2006/relationships/hyperlink" Target="https://dls.se/product/cruise-crpp-tsw-8/" TargetMode="External" Id="rId33"/><Relationship Type="http://schemas.openxmlformats.org/officeDocument/2006/relationships/hyperlink" Target="https://musway.de/english/tes3yset1.html" TargetMode="External" Id="rId34"/><Relationship Type="http://schemas.openxmlformats.org/officeDocument/2006/relationships/hyperlink" Target="https://www.esxaudio.de/english/tes3yset2.html" TargetMode="External" Id="rId35"/></Relationships>
</file>

<file path=xl/worksheets/_rels/sheet23.xml.rels><Relationships xmlns="http://schemas.openxmlformats.org/package/2006/relationships"><Relationship Type="http://schemas.openxmlformats.org/officeDocument/2006/relationships/hyperlink" Target="https://mbcaraudio.nl/autospecifieke-pasklare-speakersets/focal-iw-t3y-200.html" TargetMode="External" Id="rId1"/><Relationship Type="http://schemas.openxmlformats.org/officeDocument/2006/relationships/hyperlink" Target="https://mbcaraudio.nl/autospecifieke-pasklare-speakersets/focal-is-t3y-100.html" TargetMode="External" Id="rId2"/><Relationship Type="http://schemas.openxmlformats.org/officeDocument/2006/relationships/hyperlink" Target="https://mbcaraudio.nl/autospecifieke-pasklare-speakersets/focal-icc-t3y-100.html" TargetMode="External" Id="rId3"/><Relationship Type="http://schemas.openxmlformats.org/officeDocument/2006/relationships/hyperlink" Target="https://mbcaraudio.nl/autospecifieke-pasklare-speakersets/focal-ic-t3y-100.html" TargetMode="External" Id="rId4"/><Relationship Type="http://schemas.openxmlformats.org/officeDocument/2006/relationships/hyperlink" Target="https://mbcaraudio.nl/autospecifieke-pasklare-speakersets/focal-ic-t3y-100.html" TargetMode="External" Id="rId5"/></Relationships>
</file>

<file path=xl/worksheets/_rels/sheet24.xml.rels><Relationships xmlns="http://schemas.openxmlformats.org/package/2006/relationships"><Relationship Type="http://schemas.openxmlformats.org/officeDocument/2006/relationships/hyperlink" Target="https://audison.com/tesla/" TargetMode="External" Id="rId1"/><Relationship Type="http://schemas.openxmlformats.org/officeDocument/2006/relationships/hyperlink" Target="https://audison.com/tesla/" TargetMode="External" Id="rId2"/><Relationship Type="http://schemas.openxmlformats.org/officeDocument/2006/relationships/hyperlink" Target="https://audison.com/tesla/" TargetMode="External" Id="rId3"/><Relationship Type="http://schemas.openxmlformats.org/officeDocument/2006/relationships/hyperlink" Target="https://audison.com/tesla/" TargetMode="External" Id="rId4"/></Relationships>
</file>

<file path=xl/worksheets/_rels/sheet25.xml.rels><Relationships xmlns="http://schemas.openxmlformats.org/package/2006/relationships"><Relationship Type="http://schemas.openxmlformats.org/officeDocument/2006/relationships/hyperlink" Target="https://mbcaraudio.nl/autospecifieke-producten/tesla-autospecifieke-producten-en-accessoires/automodel-typenummer-en-bouwjaar-selectie-tesla/tesla-model-3-facelift-bouwjaar-2023-" TargetMode="External" Id="rId1"/><Relationship Type="http://schemas.openxmlformats.org/officeDocument/2006/relationships/hyperlink" Target="https://dls.se/product/cruise-crpp-tsw-8/" TargetMode="External" Id="rId2"/><Relationship Type="http://schemas.openxmlformats.org/officeDocument/2006/relationships/hyperlink" Target="https://mbcaraudio.nl/autospecifieke-producten/tesla-autospecifieke-producten-en-accessoires/automodel-typenummer-en-bouwjaar-selectie-tesla/tesla-model-3-facelift-bouwjaar-2023-" TargetMode="External" Id="rId3"/><Relationship Type="http://schemas.openxmlformats.org/officeDocument/2006/relationships/hyperlink" Target="https://musway.de/english/tes3yset1.html" TargetMode="External" Id="rId4"/><Relationship Type="http://schemas.openxmlformats.org/officeDocument/2006/relationships/hyperlink" Target="https://mbcaraudio.nl/autospecifieke-producten/tesla-autospecifieke-producten-en-accessoires/automodel-typenummer-en-bouwjaar-selectie-tesla/tesla-model-3-facelift-bouwjaar-2023-" TargetMode="External" Id="rId5"/><Relationship Type="http://schemas.openxmlformats.org/officeDocument/2006/relationships/hyperlink" Target="https://www.esxaudio.de/english/tes3yset2.html" TargetMode="External" Id="rId6"/></Relationships>
</file>

<file path=xl/worksheets/_rels/sheet27.xml.rels><Relationships xmlns="http://schemas.openxmlformats.org/package/2006/relationships"><Relationship Type="http://schemas.openxmlformats.org/officeDocument/2006/relationships/hyperlink" Target="https://mbcaraudio.nl/autospecifieke-pasklare-speakersets/focal-iw-t3y-200.html" TargetMode="External" Id="rId1"/><Relationship Type="http://schemas.openxmlformats.org/officeDocument/2006/relationships/hyperlink" Target="https://mbcaraudio.nl/autospecifieke-pasklare-speakersets/focal-iw-t3y-200.html" TargetMode="External" Id="rId2"/><Relationship Type="http://schemas.openxmlformats.org/officeDocument/2006/relationships/hyperlink" Target="https://mbcaraudio.nl/autospecifieke-pasklare-speakersets/focal-icc-t3y-100.html" TargetMode="External" Id="rId3"/><Relationship Type="http://schemas.openxmlformats.org/officeDocument/2006/relationships/hyperlink" Target="https://mbcaraudio.nl/autospecifieke-pasklare-speakersets/focal-is-t3y-100.html" TargetMode="External" Id="rId4"/><Relationship Type="http://schemas.openxmlformats.org/officeDocument/2006/relationships/hyperlink" Target="https://mbcaraudio.nl/autospecifieke-pasklare-speakersets/focal-ic-t3y-100.html" TargetMode="External" Id="rId5"/><Relationship Type="http://schemas.openxmlformats.org/officeDocument/2006/relationships/hyperlink" Target="https://mbcaraudio.nl/autospecifieke-pasklare-speakersets/focal-icc-t3y-100.html" TargetMode="External" Id="rId6"/><Relationship Type="http://schemas.openxmlformats.org/officeDocument/2006/relationships/hyperlink" Target="https://mbcaraudio.nl/autospecifieke-pasklare-speakersets/focal-is-t3y-100.html" TargetMode="External" Id="rId7"/><Relationship Type="http://schemas.openxmlformats.org/officeDocument/2006/relationships/hyperlink" Target="https://mbcaraudio.nl/autospecifieke-pasklare-speakersets/focal-ic-t3y-100.html" TargetMode="External" Id="rId8"/><Relationship Type="http://schemas.openxmlformats.org/officeDocument/2006/relationships/hyperlink" Target="https://mbcaraudio.nl/autospecifieke-producten/mercedes-benz-autospecifieke-producten-en-accessoires/autospecifieke-versterker-audio-kabelbomen-mercedes-benz" TargetMode="External" Id="rId9"/><Relationship Type="http://schemas.openxmlformats.org/officeDocument/2006/relationships/hyperlink" Target="https://mbcaraudio.nl/10-12-16-en-18-kanaals/audison-af-m1214-bit.html" TargetMode="External" Id="rId10"/><Relationship Type="http://schemas.openxmlformats.org/officeDocument/2006/relationships/hyperlink" Target="https://www.autosound24.nl/producten/AUD-DSPAMP-AF-M8-14BIT" TargetMode="External" Id="rId11"/><Relationship Type="http://schemas.openxmlformats.org/officeDocument/2006/relationships/hyperlink" Target="https://mbcaraudio.nl/bass-controls/audison-drc-mp-can.html" TargetMode="External" Id="rId12"/><Relationship Type="http://schemas.openxmlformats.org/officeDocument/2006/relationships/hyperlink" Target="https://audison.com/product/af-m4d/" TargetMode="External" Id="rId13"/><Relationship Type="http://schemas.openxmlformats.org/officeDocument/2006/relationships/hyperlink" Target="https://mbcaraudio.nl/autospecifieke-producten/tesla-autospecifieke-producten-en-accessoires/automodel-typenummer-en-bouwjaar-selectie-tesla/tesla-model-3-facelift-bouwjaar-2023-" TargetMode="External" Id="rId14"/><Relationship Type="http://schemas.openxmlformats.org/officeDocument/2006/relationships/hyperlink" Target="https://audison.com/product/af-m1d/" TargetMode="External" Id="rId15"/><Relationship Type="http://schemas.openxmlformats.org/officeDocument/2006/relationships/hyperlink" Target="https://mbcaraudio.nl/autospecifieke-producten/tesla-autospecifieke-producten-en-accessoires/automodel-typenummer-en-bouwjaar-selectie-tesla/tesla-model-3-facelift-bouwjaar-2023-" TargetMode="External" Id="rId16"/><Relationship Type="http://schemas.openxmlformats.org/officeDocument/2006/relationships/hyperlink" Target="https://audison.com/collections/car-accessories/" TargetMode="External" Id="rId17"/><Relationship Type="http://schemas.openxmlformats.org/officeDocument/2006/relationships/hyperlink" Target="https://mbcaraudio.nl/" TargetMode="External" Id="rId18"/><Relationship Type="http://schemas.openxmlformats.org/officeDocument/2006/relationships/hyperlink" Target="https://mbcaraudio.nl/bass-controls/audison-drc-ac.html" TargetMode="External" Id="rId19"/></Relationships>
</file>

<file path=xl/worksheets/_rels/sheet28.xml.rels><Relationships xmlns="http://schemas.openxmlformats.org/package/2006/relationships"><Relationship Type="http://schemas.openxmlformats.org/officeDocument/2006/relationships/hyperlink" Target="https://mbcaraudio.nl/bass-controls/audison-drc-mp-can.html" TargetMode="External" Id="rId1"/><Relationship Type="http://schemas.openxmlformats.org/officeDocument/2006/relationships/hyperlink" Target="https://mbcaraudio.nl/autospecifieke-producten/tesla-autospecifieke-producten-en-accessoires/automodel-typenummer-en-bouwjaar-selectie-tesla/tesla-model-3-facelift-bouwjaar-2023-" TargetMode="External" Id="rId2"/></Relationships>
</file>

<file path=xl/worksheets/_rels/sheet30.xml.rels><Relationships xmlns="http://schemas.openxmlformats.org/package/2006/relationships"><Relationship Type="http://schemas.openxmlformats.org/officeDocument/2006/relationships/hyperlink" Target="https://mbcaraudio.nl/" TargetMode="External" Id="rId1"/><Relationship Type="http://schemas.openxmlformats.org/officeDocument/2006/relationships/hyperlink" Target="https://mbcaraudio.nl/87-cm-/audison-ap-2-mv.html" TargetMode="External" Id="rId2"/></Relationships>
</file>

<file path=xl/worksheets/sheet1.xml><?xml version="1.0" encoding="utf-8"?>
<worksheet xmlns="http://schemas.openxmlformats.org/spreadsheetml/2006/main">
  <sheetPr>
    <outlinePr summaryBelow="1" summaryRight="1"/>
    <pageSetUpPr/>
  </sheetPr>
  <dimension ref="A1:H97"/>
  <sheetViews>
    <sheetView showGridLines="0" workbookViewId="0">
      <selection activeCell="A1" sqref="A1"/>
    </sheetView>
  </sheetViews>
  <sheetFormatPr baseColWidth="8" defaultRowHeight="15"/>
  <cols>
    <col width="28" customWidth="1" min="1" max="1"/>
    <col width="18" customWidth="1" min="2" max="2"/>
    <col width="3" customWidth="1" min="3" max="3"/>
    <col width="25" customWidth="1" min="4" max="4"/>
    <col width="18" customWidth="1" min="5" max="5"/>
    <col width="18" customWidth="1" min="6" max="6"/>
    <col width="18" customWidth="1" min="7" max="7"/>
    <col width="18" customWidth="1" min="8" max="8"/>
  </cols>
  <sheetData>
    <row r="1" ht="28" customHeight="1">
      <c r="A1" s="1" t="inlineStr">
        <is>
          <t>Tesla Model 3 Highland 2026 SOP9 - Audio Upgrade BOM v2.0 Final Asset-Integrated</t>
        </is>
      </c>
    </row>
    <row r="2" ht="30" customHeight="1">
      <c r="A2" s="2" t="inlineStr">
        <is>
          <t>v2.0 finalizes the engineering reference around the verified SOP9 collector capture. 241/241 manifest-listed assets passed byte-size and SHA-256 validation. All 15 target speaker connectors have metadata and terminal faceviews. Combined target location-image coverage is 14/15: X586 and X595 are retained from the prior built-in capture because the latest Tesla endpoint returned 403; X566 remains a visual-only HTTP 403 gap. Physical connector population/fitment in the delivered vehicle remains an installation-time check. HELIX V EIGHTEEN lead architecture, supplier sourcing comparisons and Pioneer/MATCH/HELIX sub-amplifier options are preserved.</t>
        </is>
      </c>
    </row>
    <row r="4">
      <c r="A4" s="3" t="inlineStr">
        <is>
          <t>Budget minimum</t>
        </is>
      </c>
      <c r="B4" s="4" t="n">
        <v>3000</v>
      </c>
      <c r="D4" s="5" t="inlineStr">
        <is>
          <t>Current lead architecture / sourcing decision</t>
        </is>
      </c>
    </row>
    <row r="5">
      <c r="A5" s="3" t="inlineStr">
        <is>
          <t>Budget maximum</t>
        </is>
      </c>
      <c r="B5" s="4" t="n">
        <v>3500</v>
      </c>
      <c r="D5" s="6" t="inlineStr">
        <is>
          <t>CURRENT LEAD: HELIX V EIGHTEEN DSP (18 amplified / 20 DSP) because it can finish all 15 cabin positions without a second cabin amplifier. Preserve Audison/V TWELVE/NEXT V EIGHT routes as alternatives. Exact SOP9 connector population and interposer pinning remain a physical-install verification item. Final 15-channel full-active requires bypass/rewire of the passive L/R crossover supplied in the K200.2TES4 package.</t>
        </is>
      </c>
    </row>
    <row r="6">
      <c r="A6" s="3" t="inlineStr">
        <is>
          <t>Aanbevolen BOM totaal</t>
        </is>
      </c>
      <c r="B6" s="7">
        <f>SUM(BOM_Recommended!N5:N15)</f>
        <v/>
      </c>
    </row>
    <row r="7">
      <c r="A7" s="3" t="inlineStr">
        <is>
          <t>Budgetruimte</t>
        </is>
      </c>
      <c r="B7" s="8">
        <f>B5-B6</f>
        <v/>
      </c>
    </row>
    <row r="8">
      <c r="A8" s="3" t="inlineStr">
        <is>
          <t>Aantal cabin speakers</t>
        </is>
      </c>
      <c r="B8" s="7">
        <f>SUM(BOM_Recommended!D5:D15)</f>
        <v/>
      </c>
    </row>
    <row r="9">
      <c r="A9" s="3" t="inlineStr">
        <is>
          <t>Prijspeildatum</t>
        </is>
      </c>
      <c r="B9" s="9" t="inlineStr">
        <is>
          <t>2026-09-10</t>
        </is>
      </c>
    </row>
    <row r="10">
      <c r="A10" s="3" t="inlineStr">
        <is>
          <t>USD→EUR koers</t>
        </is>
      </c>
      <c r="B10" s="10" t="n">
        <v>0.8604039999999999</v>
      </c>
    </row>
    <row r="11">
      <c r="A11" s="3" t="inlineStr">
        <is>
          <t>Best current DE total</t>
        </is>
      </c>
      <c r="B11" s="45">
        <f>B6-1290+1205.9</f>
        <v/>
      </c>
      <c r="C11" s="3" t="inlineStr">
        <is>
          <t>NL DSP scenario</t>
        </is>
      </c>
      <c r="D11" s="45">
        <f>B6-1290+1349</f>
        <v/>
      </c>
    </row>
    <row r="12">
      <c r="A12" s="11" t="inlineStr">
        <is>
          <t>Beslispunten vóór definitieve bestelling</t>
        </is>
      </c>
    </row>
    <row r="13">
      <c r="A13" s="12" t="inlineStr">
        <is>
          <t>1. Pioneer subsystem identified: TS-WX1220AH donor hardware. Reuse 2×30 cm woofers + original Class-D amp; original Pioneer enclosure is NOT used. Resolve Tesla 15.5 V vs Pioneer 15.1 V max before direct power connection.</t>
        </is>
      </c>
    </row>
    <row r="14">
      <c r="A14" s="13" t="inlineStr">
        <is>
          <t>2. SOP9 reference connector metadata/pinouts are now captured and verified in v2.0. During installation verify which PAUDIO-only positions/connectors are physically populated in this exact vehicle before repinning the PP-TES/interposer; do not cut the Tesla loom.</t>
        </is>
      </c>
    </row>
    <row r="15">
      <c r="A15" s="12" t="inlineStr">
        <is>
          <t>3. 80 mm front-door en 50 mm headliner FlexMount/custom adapters fysiek proefpassen; budget bevat een adapter/pigtail-reserve.</t>
        </is>
      </c>
    </row>
    <row r="16">
      <c r="A16" s="13" t="inlineStr">
        <is>
          <t>4. Headliner L/R: PAUDIO-only X569/X579. Use AUX 2ch from Audison DSP OUT unless the PAUDIO MCU/wire path is proven usable on this BAUDIO car.</t>
        </is>
      </c>
    </row>
    <row r="17">
      <c r="A17" s="12" t="inlineStr">
        <is>
          <t>5. Prijzen zijn momentopnamen; verzendkosten/importheffingen zijn alleen meegenomen waar expliciet bekend.</t>
        </is>
      </c>
    </row>
    <row r="19">
      <c r="A19" s="42" t="inlineStr">
        <is>
          <t>Kooproute voor BOM-totaal €3.393: DSP uit Duitsland (€1.290), DRC MP CAN uit NL (€179), Highland frontkit + PP-TES uit Duitsland, overige HELIX drivers via DE/EU. Verzendkosten zijn niet in het BOM-totaal opgenomen tenzij een shop ze expliciet gratis aanbiedt.</t>
        </is>
      </c>
    </row>
    <row r="21" ht="32" customHeight="1">
      <c r="A21" s="70" t="inlineStr">
        <is>
          <t>MBC v1.1 aanvulling – zie MBC_Configurator, MBC_Focal_Set, MBC_Audison_Set en MBC_Quote_Mails.</t>
        </is>
      </c>
      <c r="B21" s="56" t="n"/>
      <c r="C21" s="56" t="n"/>
      <c r="D21" s="56" t="n"/>
      <c r="E21" s="56" t="n"/>
      <c r="F21" s="56" t="n"/>
      <c r="G21" s="56" t="n"/>
      <c r="H21" s="56" t="n"/>
    </row>
    <row r="22" ht="42" customHeight="1">
      <c r="A22" s="15" t="inlineStr">
        <is>
          <t>v1.2 correctie: bestaande Audison BEST FIT blijft leidend. Nieuwe shopprijzen en PowerBass/Ground Zero/V EIGHTEEN zijn toegevoegd als vergelijkingsroutes; geen eerdere optie is verwijderd.</t>
        </is>
      </c>
    </row>
    <row r="24">
      <c r="A24" s="76" t="inlineStr">
        <is>
          <t>SOP9 EPC EVIDENCE UPDATE - 2026-09-02</t>
        </is>
      </c>
    </row>
    <row r="25">
      <c r="A25" s="35" t="inlineStr">
        <is>
          <t>Verified BAUDIO 9</t>
        </is>
      </c>
      <c r="B25" s="77" t="inlineStr">
        <is>
          <t>Front door base woofers X568/X578, tweeters X565/X575, IP L/C/R X566/X595/X576 and rear doors X586/X591.</t>
        </is>
      </c>
    </row>
    <row r="26">
      <c r="A26" s="35" t="inlineStr">
        <is>
          <t>PAUDIO-only additions</t>
        </is>
      </c>
      <c r="B26" s="77" t="inlineStr">
        <is>
          <t>Front 80mm X570/X580, parcel shelf X588/X593 and headliners X569/X579. PAUDIO uses premium woofer endpoints X567/X577 instead of BAUDIO X568/X578.</t>
        </is>
      </c>
    </row>
    <row r="27">
      <c r="A27" s="35" t="inlineStr">
        <is>
          <t>Headliner correction</t>
        </is>
      </c>
      <c r="B27" s="78" t="inlineStr">
        <is>
          <t>X569/X579 are shown only on the PAUDIO option branch. The BAUDIO build must not assume ready/active OEM headliner channels; route them via auxiliary amplification unless activation/wiring is verified.</t>
        </is>
      </c>
    </row>
    <row r="28">
      <c r="A28" s="35" t="inlineStr">
        <is>
          <t>Audison impact</t>
        </is>
      </c>
      <c r="B28" s="78" t="inlineStr">
        <is>
          <t>The prior 11 Audison feeds remain valid for the original grouped map; add two AUX headliner feeds from Audison DSP OUT. Auxiliary amp model/price is still TBD and is NOT included in the old €3,393 baseline.</t>
        </is>
      </c>
    </row>
    <row r="29">
      <c r="A29" s="35" t="inlineStr">
        <is>
          <t>Decision discipline</t>
        </is>
      </c>
      <c r="B29" s="77" t="inlineStr">
        <is>
          <t>HELIX V EIGHTEEN remains a clean 18-channel alternative, not an automatic replacement. Focal/DLS/MUSWAY/ESX/MATCH/PowerBass comparisons remain preserved.</t>
        </is>
      </c>
    </row>
    <row r="31">
      <c r="A31" s="76" t="inlineStr">
        <is>
          <t>PIONEER TS-WX1220AH DONOR SUBSYSTEM - 2026-09-05</t>
        </is>
      </c>
    </row>
    <row r="32">
      <c r="A32" s="35" t="inlineStr">
        <is>
          <t>Retained hardware</t>
        </is>
      </c>
      <c r="B32" s="15" t="inlineStr">
        <is>
          <t>2 × original Pioneer ø30 cm / 12-inch woofers + original integrated Class-D amplifier removed from one TS-WX1220AH.</t>
        </is>
      </c>
    </row>
    <row r="33">
      <c r="A33" s="35" t="inlineStr">
        <is>
          <t>Not retained</t>
        </is>
      </c>
      <c r="B33" s="15" t="inlineStr">
        <is>
          <t>Original Pioneer bass-reflex enclosure is NOT used.</t>
        </is>
      </c>
    </row>
    <row r="34">
      <c r="A34" s="35" t="inlineStr">
        <is>
          <t>Driver installation</t>
        </is>
      </c>
      <c r="B34" s="15" t="inlineStr">
        <is>
          <t>Both woofers mounted in a custom rigid baffle/lid at the Tesla lower extra trunk storage cavity.</t>
        </is>
      </c>
    </row>
    <row r="35">
      <c r="A35" s="35" t="inlineStr">
        <is>
          <t>Amplifier installation</t>
        </is>
      </c>
      <c r="B35" s="15" t="inlineStr">
        <is>
          <t>Original Pioneer amplifier remote-mounted behind the trunk side / wheel-arch trim, approximately at the OEM Premium amplifier location.</t>
        </is>
      </c>
    </row>
    <row r="36">
      <c r="A36" s="35" t="inlineStr">
        <is>
          <t>Original Pioneer system rating</t>
        </is>
      </c>
      <c r="B36" s="15" t="inlineStr">
        <is>
          <t>2×30 cm; 1000 W RMS / 3000 W max complete donor system. Original amplifier: 600 W RMS / 1200 W max Class-D.</t>
        </is>
      </c>
    </row>
    <row r="37">
      <c r="A37" s="35" t="inlineStr">
        <is>
          <t>Pioneer electrical</t>
        </is>
      </c>
      <c r="B37" s="15" t="inlineStr">
        <is>
          <t>DC 14.4 V nominal; 10.8–15.1 V allowable; 50 A max current; negative ground. Pioneer wiring example specifies a dedicated 80 A fuse.</t>
        </is>
      </c>
    </row>
    <row r="38">
      <c r="A38" s="35" t="inlineStr">
        <is>
          <t>Tesla LV compatibility</t>
        </is>
      </c>
      <c r="B38" s="78" t="inlineStr">
        <is>
          <t>Tesla publishes 15.5 V low-voltage. Direct Pioneer amp connection is NOT approved until actual SOP9 voltage is measured/verified; use a high-current regulated step-down supply if required.</t>
        </is>
      </c>
    </row>
    <row r="39">
      <c r="A39" s="35" t="inlineStr">
        <is>
          <t>Signal route</t>
        </is>
      </c>
      <c r="B39" s="15" t="inlineStr">
        <is>
          <t>Audison/HELIX DSP dedicated subwoofer line output → RCA → original Pioneer amplifier → two donor woofers.</t>
        </is>
      </c>
    </row>
    <row r="40">
      <c r="A40" s="35" t="inlineStr">
        <is>
          <t>Acoustic limitation</t>
        </is>
      </c>
      <c r="B40" s="78" t="inlineStr">
        <is>
          <t>Do not reuse Pioneer complete-enclosure frequency response/sensitivity as predicted custom-install performance. Final response depends on custom cavity volume, sealing, baffle stiffness, leakage and cabin gain.</t>
        </is>
      </c>
    </row>
    <row r="42">
      <c r="A42" s="99" t="inlineStr">
        <is>
          <t>FULL HELIX i5 / i7 COMPARISON — 2026-09-06</t>
        </is>
      </c>
    </row>
    <row r="43">
      <c r="A43" s="35" t="inlineStr">
        <is>
          <t>DSP conclusion</t>
        </is>
      </c>
      <c r="B43" s="15" t="inlineStr">
        <is>
          <t>HELIX V EIGHTEEN DSP selected for comparison: 18 amplified / 20 DSP channels, 15 cabin channels used, CH16-18 spare, processed RCA OUT 1/2 to retained Pioneer amplifier.</t>
        </is>
      </c>
    </row>
    <row r="44">
      <c r="A44" s="35" t="inlineStr">
        <is>
          <t>i5-priority known total</t>
        </is>
      </c>
      <c r="B44" s="29">
        <f>'HELIX_i5_Setup'!B29</f>
        <v/>
      </c>
    </row>
    <row r="45">
      <c r="A45" s="35" t="inlineStr">
        <is>
          <t>i7-priority known total</t>
        </is>
      </c>
      <c r="B45" s="29">
        <f>'HELIX_i7_Setup'!B29</f>
        <v/>
      </c>
    </row>
    <row r="46">
      <c r="A46" s="35" t="inlineStr">
        <is>
          <t>Known i7 premium</t>
        </is>
      </c>
      <c r="B46" s="29">
        <f>'HELIX_Comparison'!C7</f>
        <v/>
      </c>
    </row>
    <row r="47">
      <c r="A47" s="35" t="inlineStr">
        <is>
          <t>Important naming</t>
        </is>
      </c>
      <c r="B47" s="15" t="inlineStr">
        <is>
          <t>Neither build can be literally 100% i5 or 100% i7 at all positions. The i5-priority setup uses i7 T20 because Tesla has an official 20mm HELIX adapter but no current Tesla FlexMount25; both use i3 coax center; the i7-priority setup uses i5 M80/M50 because i7 has no 80/50mm drivers.</t>
        </is>
      </c>
    </row>
    <row r="48">
      <c r="A48" s="35" t="inlineStr">
        <is>
          <t>Purchase status</t>
        </is>
      </c>
      <c r="B48" s="15" t="inlineStr">
        <is>
          <t>COMPARISON ONLY — final SOP9 mounts/pigtails, V EIGHTEEN interposer, power/fusing and Pioneer voltage regulation are still open. Known totals are not turnkey installed prices.</t>
        </is>
      </c>
    </row>
    <row r="50">
      <c r="A50" s="99" t="inlineStr">
        <is>
          <t>FULL HELIX BUDGET UPDATE — 2026-09-06</t>
        </is>
      </c>
    </row>
    <row r="51">
      <c r="A51" s="35" t="inlineStr">
        <is>
          <t>Best long-term new</t>
        </is>
      </c>
      <c r="B51" s="15" t="inlineStr">
        <is>
          <t>V EIGHTEEN + refreshed Ci3/i5 value basket ≈ €3,631.98 known hardware including existing €39.98 adapter reserve. Current lead one-box route. Final 15-channel full-active requires bypass/rewire of the passive L/R crossover supplied in the K200.2TES4 package.</t>
        </is>
      </c>
    </row>
    <row r="52">
      <c r="A52" s="35" t="inlineStr">
        <is>
          <t>Closest new to €3,500</t>
        </is>
      </c>
      <c r="B52" s="15" t="inlineStr">
        <is>
          <t>NEXT V EIGHT DSP ULTIMATE + AMPLIFY 206 DIRECT ≈ €3,540.98 known hardware with refreshed common basket.</t>
        </is>
      </c>
    </row>
    <row r="53">
      <c r="A53" s="35" t="inlineStr">
        <is>
          <t>12-channel staged</t>
        </is>
      </c>
      <c r="B53" s="15" t="inlineStr">
        <is>
          <t>V TWELVE alone ≈ €3,331.98; add AMPLIFY 204 DIRECT → ≈ €3,570.98 known hardware with refreshed common basket.</t>
        </is>
      </c>
    </row>
    <row r="54">
      <c r="A54" s="35" t="inlineStr">
        <is>
          <t>Second DSP later</t>
        </is>
      </c>
      <c r="B54" s="15" t="inlineStr">
        <is>
          <t>AMPLIFY 206 DSP (€599) is preferred over DSP MINI (€399) + AMPLIFY 204 (€239): one fewer box and €39 cheaper. Use only if retaining a V TWELVE and later demanding 15 individual cabin amp feeds.</t>
        </is>
      </c>
    </row>
    <row r="55">
      <c r="A55" s="35" t="inlineStr">
        <is>
          <t>Current used scout</t>
        </is>
      </c>
      <c r="B55" s="15" t="inlineStr">
        <is>
          <t>A German private V TWELVE MK2 listing is indexed today at €1,050. Used V TWELVE + 204 route ≈ €3,101.98; used V TWELVE + 206 DSP ≈ €3,461.98. Treat as opportunistic, not a stable price.</t>
        </is>
      </c>
    </row>
    <row r="56">
      <c r="A56" s="35" t="inlineStr">
        <is>
          <t>Country result</t>
        </is>
      </c>
      <c r="B56" s="15" t="inlineStr">
        <is>
          <t>DE has the strongest verified online availability. FR-deliverable prices are generally the same MSRP; ARS24 explicitly ships HELIX/MATCH to France. No lower indexed Belgian checkout was found; HifiMotive Belgium dealer network uses €1,799 V EIGHTEEN / €299 DIRECTOR RRP, so request a bundle quote.</t>
        </is>
      </c>
    </row>
    <row r="58">
      <c r="A58" s="99" t="inlineStr">
        <is>
          <t>HELIX BUDGET OPTIMIZATION v1.7 — 2026-09-06</t>
        </is>
      </c>
    </row>
    <row r="59">
      <c r="A59" s="35" t="inlineStr">
        <is>
          <t>Best clean new</t>
        </is>
      </c>
      <c r="B59" s="15" t="inlineStr">
        <is>
          <t>V EIGHTEEN route: ≈ €3,631.98 known hardware / ≈ €3,881.98 with the existing illustrative €250 reserve. One DSP/amp and future 15-channel full-active capability.</t>
        </is>
      </c>
    </row>
    <row r="60">
      <c r="A60" s="35" t="inlineStr">
        <is>
          <t>Best new closest €3,500</t>
        </is>
      </c>
      <c r="B60" s="15" t="inlineStr">
        <is>
          <t>NEXT V EIGHT DSP ULTIMATE + AMPLIFY 206 DIRECT: ≈ €3,540.98 known / ≈ €3,790.98 with illustrative reserve.</t>
        </is>
      </c>
    </row>
    <row r="61">
      <c r="A61" s="35" t="inlineStr">
        <is>
          <t>Best 12-channel staged</t>
        </is>
      </c>
      <c r="B61" s="15" t="inlineStr">
        <is>
          <t>V TWELVE alone: ≈ €3,331.98 known / ≈ €3,581.98 with reserve. Add AMPLIFY 204 DIRECT later → ≈ €3,570.98 known.</t>
        </is>
      </c>
    </row>
    <row r="62">
      <c r="A62" s="35" t="inlineStr">
        <is>
          <t>Best clearance all-new</t>
        </is>
      </c>
      <c r="B62" s="15" t="inlineStr">
        <is>
          <t>Legacy V EIGHT €949 + AMPLIFY 206 DSP: ≈ €3,380.98 known / ≈ €3,630.98 with reserve. Two-DSP complexity remains the trade-off.</t>
        </is>
      </c>
    </row>
    <row r="63">
      <c r="A63" s="35" t="inlineStr">
        <is>
          <t>Used update</t>
        </is>
      </c>
      <c r="B63" s="15" t="inlineStr">
        <is>
          <t>Used V TWELVE €1,200 + 204 DIRECT: ≈ €3,271.98 known / ≈ €3,521.98 with reserve. Used-market availability is not guaranteed.</t>
        </is>
      </c>
    </row>
    <row r="64">
      <c r="A64" s="35" t="inlineStr">
        <is>
          <t>Full-active decision</t>
        </is>
      </c>
      <c r="B64" s="15" t="inlineStr">
        <is>
          <t>Do not build a multi-box full-active system just to save a few euros: legacy V EIGHT + 206 DSP + 204 DIRECT is ≈ €3,619.98 known, essentially the same as the one-box V EIGHTEEN route.</t>
        </is>
      </c>
    </row>
    <row r="66" ht="22" customHeight="1">
      <c r="A66" s="153" t="inlineStr">
        <is>
          <t>SUPPLIER / SOURCING UPDATE — 2026-09-10</t>
        </is>
      </c>
    </row>
    <row r="67">
      <c r="A67" s="154" t="inlineStr">
        <is>
          <t>Current clean Full-15 HELIX-DE basket</t>
        </is>
      </c>
      <c r="B67" s="155">
        <f>'Supplier_Stage_Plan'!C8</f>
        <v/>
      </c>
    </row>
    <row r="68">
      <c r="A68" s="154" t="inlineStr">
        <is>
          <t>Current Core-Music-9 HELIX-DE basket</t>
        </is>
      </c>
      <c r="B68" s="155">
        <f>'Supplier_Stage_Plan'!C5</f>
        <v/>
      </c>
    </row>
    <row r="69">
      <c r="A69" s="154" t="inlineStr">
        <is>
          <t>Effect / immersion 6 positions later</t>
        </is>
      </c>
      <c r="B69" s="155">
        <f>'Supplier_Stage_Plan'!C6</f>
        <v/>
      </c>
    </row>
    <row r="70">
      <c r="A70" s="154" t="inlineStr">
        <is>
          <t>Budget-saving staged option</t>
        </is>
      </c>
      <c r="B70" s="155">
        <f>'Supplier_Stage_Plan'!C10</f>
        <v/>
      </c>
    </row>
    <row r="71">
      <c r="A71" s="154" t="inlineStr">
        <is>
          <t>NL vs DE speaker rule</t>
        </is>
      </c>
      <c r="B71" s="15" t="inlineStr">
        <is>
          <t>For i3/i5 and the Highland-specific package, genuine HELIX from Germany is preferred when price is equal/close and stock is available. For i7-class positions, BOXMORE BXS can save materially and deserves selective consideration, but only after exact SKU fit/impedance/accessory verification; do not assume 100% identity from family naming alone.</t>
        </is>
      </c>
    </row>
    <row r="72">
      <c r="A72" s="154" t="inlineStr">
        <is>
          <t>Supplier state</t>
        </is>
      </c>
      <c r="B72" s="15" t="inlineStr">
        <is>
          <t>Schut: BOXMORE/HELIX relationship + connector variability + optional-effect-speaker recommendation. MB Car Audio: no guaranteed 2026 PnP package yet; harness repinning/physical verification advised. Van Hemert: request sent / response pending in captured project data. Bünde: online genuine-HELIX sourcing checked; supplier reply not captured.</t>
        </is>
      </c>
    </row>
    <row r="73">
      <c r="A73" s="154" t="inlineStr">
        <is>
          <t>Pioneer power/inrush</t>
        </is>
      </c>
      <c r="B73" s="15" t="inlineStr">
        <is>
          <t>Previous Tesla field result: direct high-inrush amplifier connection caused VCFRONT / “cannot maintain DC power”; SSR-based switching solved the operational fault. Treat inrush switching and absolute 15.5 V vs Pioneer 15.1 V supply compatibility as two separate engineering gates.</t>
        </is>
      </c>
    </row>
    <row r="75">
      <c r="A75" s="153" t="inlineStr">
        <is>
          <t>SUBWOOFER AMPLIFIER OPTIONS — v1.9</t>
        </is>
      </c>
    </row>
    <row r="76">
      <c r="A76" s="154" t="inlineStr">
        <is>
          <t>Current preferred replacement candidate</t>
        </is>
      </c>
      <c r="B76" s="155" t="inlineStr">
        <is>
          <t>MATCH UP 1FX — €299 planning price; 10.5–18 V operating range; 1 × 900 W RMS @ 1 Ω; compact; RCA input; DirectDSP capable. Series-driver wiring / load verification REQUIRED.</t>
        </is>
      </c>
    </row>
    <row r="77">
      <c r="A77" s="154" t="inlineStr">
        <is>
          <t>Critical driver-load evidence</t>
        </is>
      </c>
      <c r="B77" s="155" t="inlineStr">
        <is>
          <t>Pioneer Europe lists TS-WX1220AH complete-system impedance as 0.3 Ω; Pioneer Middle East specifies 0.6 Ω × 2. This is consistent with two 0.6 Ω SVC drivers used in parallel in the original active enclosure. Verify each loose driver before rewiring.</t>
        </is>
      </c>
    </row>
    <row r="78">
      <c r="A78" s="154" t="inlineStr">
        <is>
          <t>No direct replacement at original wiring</t>
        </is>
      </c>
      <c r="B78" s="155" t="inlineStr">
        <is>
          <t>UP 1FX, HELIX M ONE and M ONE X are 1 Ω stable, not 0.3 Ω stable. Do not connect them to the original ~0.3 Ω parallel load.</t>
        </is>
      </c>
    </row>
    <row r="79">
      <c r="A79" s="154" t="inlineStr">
        <is>
          <t>Likely compatible topology after verification</t>
        </is>
      </c>
      <c r="B79" s="155" t="inlineStr">
        <is>
          <t>2 × ~0.6 Ω Pioneer SVC drivers in SERIES → ~1.2 Ω nominal → candidate load for a 1 Ω-stable mono amplifier. Confirm actual drivers / DCR and preferably dealer or manufacturer approval before final connection.</t>
        </is>
      </c>
    </row>
    <row r="80">
      <c r="A80" s="154" t="inlineStr">
        <is>
          <t>Full-15 + MATCH UP 1FX</t>
        </is>
      </c>
      <c r="B80" s="155">
        <f>'Supplier_Stage_Plan'!C8+299</f>
        <v/>
      </c>
    </row>
    <row r="81">
      <c r="A81" s="154" t="inlineStr">
        <is>
          <t>Full-15, DIRECTOR deferred + MATCH UP 1FX</t>
        </is>
      </c>
      <c r="B81" s="155">
        <f>'Supplier_Stage_Plan'!C9+299</f>
        <v/>
      </c>
    </row>
    <row r="82">
      <c r="A82" s="154" t="inlineStr">
        <is>
          <t>Brand-pure HELIX alternative</t>
        </is>
      </c>
      <c r="B82" s="155" t="inlineStr">
        <is>
          <t>HELIX M ONE €299 (600 W RMS @1 Ω) or M ONE X €379 (1030 W RMS @1 Ω). Both allow 10.5–16 V, so 15.5 V nominal Tesla is inside range but with less upper-voltage margin than the UP 1FX 18 V ceiling.</t>
        </is>
      </c>
    </row>
    <row r="84">
      <c r="A84" t="inlineStr">
        <is>
          <t>V2.0 FINAL SOP9 ASSET INTEGRATION — 2026-09-10</t>
        </is>
      </c>
    </row>
    <row r="85">
      <c r="A85" s="70" t="inlineStr">
        <is>
          <t>Source capture</t>
        </is>
      </c>
      <c r="B85" s="56" t="inlineStr">
        <is>
          <t>Tesla_Model3_SOP9_audio_assets_2026-09-10T11-50-37-616Z.zip; Collector v1.1.6; 241 packaged assets.</t>
        </is>
      </c>
    </row>
    <row r="86">
      <c r="A86" s="70" t="inlineStr">
        <is>
          <t>Integrity</t>
        </is>
      </c>
      <c r="B86" s="56" t="inlineStr">
        <is>
          <t>241/241 manifest assets match declared byte size and SHA-256. Source ZIP container integrity also passed.</t>
        </is>
      </c>
    </row>
    <row r="87">
      <c r="A87" s="70" t="inlineStr">
        <is>
          <t>Core evidence</t>
        </is>
      </c>
      <c r="B87" s="56" t="inlineStr">
        <is>
          <t>Audio-LHD SVG, Audio-Premium Amp SVG, connector reference export and all three Tesla index CSVs are captured.</t>
        </is>
      </c>
    </row>
    <row r="88">
      <c r="A88" s="70" t="inlineStr">
        <is>
          <t>Target metadata</t>
        </is>
      </c>
      <c r="B88" s="56" t="inlineStr">
        <is>
          <t>15/15 target speaker endpoint metadata records available.</t>
        </is>
      </c>
    </row>
    <row r="89">
      <c r="A89" s="70" t="inlineStr">
        <is>
          <t>Target faceviews</t>
        </is>
      </c>
      <c r="B89" s="56" t="inlineStr">
        <is>
          <t>15/15 target endpoints resolved through 3 unique terminal faceview files.</t>
        </is>
      </c>
    </row>
    <row r="90">
      <c r="A90" s="15" t="inlineStr">
        <is>
          <t>Target location images</t>
        </is>
      </c>
      <c r="B90" t="inlineStr">
        <is>
          <t>14/15 combined: 12 current collector + X586/X595 prior built-in. X566 location JPG remains unavailable (HTTP 403).</t>
        </is>
      </c>
    </row>
    <row r="91">
      <c r="A91" s="15" t="inlineStr">
        <is>
          <t>Release decision</t>
        </is>
      </c>
      <c r="B91" t="inlineStr">
        <is>
          <t>Engineering package may move to v2.0. Remaining gaps are physical-vehicle verification and installation decisions, not missing core reference data.</t>
        </is>
      </c>
    </row>
    <row r="93">
      <c r="A93" s="5" t="inlineStr">
        <is>
          <t>v2.1.0 — MB CAR AUDIO QUOTE / AUDISON ROUTE / EU PRICE UPDATE</t>
        </is>
      </c>
    </row>
    <row r="94">
      <c r="A94" s="35" t="inlineStr">
        <is>
          <t>Received quote</t>
        </is>
      </c>
      <c r="B94" s="41" t="inlineStr">
        <is>
          <t>€4,010.90 hardware only; no cables, damping/materials or labour. DIY installation.</t>
        </is>
      </c>
    </row>
    <row r="95">
      <c r="A95" s="35" t="inlineStr">
        <is>
          <t>Architecture</t>
        </is>
      </c>
      <c r="B95" s="41" t="inlineStr">
        <is>
          <t>AF M8.14 bit = front; AF M4D = rear of front seats; AF M1D = donor-sub amplifier candidate; X569/X579 omit for music.</t>
        </is>
      </c>
    </row>
    <row r="96">
      <c r="A96" s="35" t="inlineStr">
        <is>
          <t>Tuning</t>
        </is>
      </c>
      <c r="B96" s="41" t="inlineStr">
        <is>
          <t>MB field experience: ~3h Audison vs ~8h HELIX. Manufacturer review corrects HELIX “fully manual” claim: DSP PC-Tool 6 contains TuneEQ/TuneToTarget/ATM automation, but not an equivalent fully automatic end-to-end system tune.</t>
        </is>
      </c>
    </row>
    <row r="97">
      <c r="A97" s="35" t="inlineStr">
        <is>
          <t>Pricing</t>
        </is>
      </c>
      <c r="B97" s="41" t="inlineStr">
        <is>
          <t>New EU_Price_Matrix_v2.1 covers every identifiable SKU in the workbook and explicitly flags missing NL/DE/BE/FR local offers rather than inventing prices.</t>
        </is>
      </c>
    </row>
  </sheetData>
  <mergeCells count="49">
    <mergeCell ref="B40:H40"/>
    <mergeCell ref="A15:H15"/>
    <mergeCell ref="A24:H24"/>
    <mergeCell ref="B55:H55"/>
    <mergeCell ref="B64:H64"/>
    <mergeCell ref="B33:H33"/>
    <mergeCell ref="A1:H1"/>
    <mergeCell ref="B51:H51"/>
    <mergeCell ref="B37:H37"/>
    <mergeCell ref="B45:H45"/>
    <mergeCell ref="B63:H63"/>
    <mergeCell ref="B36:H36"/>
    <mergeCell ref="B32:H32"/>
    <mergeCell ref="B26:H26"/>
    <mergeCell ref="B35:H35"/>
    <mergeCell ref="A16:H16"/>
    <mergeCell ref="B47:H47"/>
    <mergeCell ref="B54:H54"/>
    <mergeCell ref="B62:H62"/>
    <mergeCell ref="B25:H25"/>
    <mergeCell ref="B59:H59"/>
    <mergeCell ref="B46:H46"/>
    <mergeCell ref="A50:H50"/>
    <mergeCell ref="A21:H21"/>
    <mergeCell ref="B27:H27"/>
    <mergeCell ref="B56:H56"/>
    <mergeCell ref="B52:H52"/>
    <mergeCell ref="A2:H2"/>
    <mergeCell ref="B43:H43"/>
    <mergeCell ref="B39:H39"/>
    <mergeCell ref="A42:H42"/>
    <mergeCell ref="D5:H10"/>
    <mergeCell ref="B48:H48"/>
    <mergeCell ref="A14:H14"/>
    <mergeCell ref="B60:H60"/>
    <mergeCell ref="A22:H22"/>
    <mergeCell ref="A17:H17"/>
    <mergeCell ref="B61:H61"/>
    <mergeCell ref="B44:H44"/>
    <mergeCell ref="B53:H53"/>
    <mergeCell ref="B34:H34"/>
    <mergeCell ref="B38:H38"/>
    <mergeCell ref="A13:H13"/>
    <mergeCell ref="A19:H19"/>
    <mergeCell ref="B29:H29"/>
    <mergeCell ref="A93:H93"/>
    <mergeCell ref="A31:H31"/>
    <mergeCell ref="A58:H58"/>
    <mergeCell ref="B28:H28"/>
  </mergeCells>
  <conditionalFormatting sqref="B7">
    <cfRule type="cellIs" priority="1" operator="lessThan" dxfId="0">
      <formula>0</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11"/>
  <sheetViews>
    <sheetView showGridLines="0" workbookViewId="0">
      <pane ySplit="4" topLeftCell="A5" activePane="bottomLeft" state="frozen"/>
      <selection pane="bottomLeft" activeCell="A1" sqref="A1"/>
    </sheetView>
  </sheetViews>
  <sheetFormatPr baseColWidth="8" defaultRowHeight="15"/>
  <cols>
    <col width="24" customWidth="1" min="1" max="1"/>
    <col width="28" customWidth="1" min="2" max="2"/>
    <col width="36" customWidth="1" min="3" max="3"/>
    <col width="26" customWidth="1" min="4" max="4"/>
    <col width="46" customWidth="1" min="5" max="5"/>
    <col width="34" customWidth="1" min="6" max="6"/>
    <col width="22" customWidth="1" min="7" max="7"/>
    <col width="45" customWidth="1" min="8" max="8"/>
    <col width="28" customWidth="1" min="9" max="9"/>
    <col width="50" customWidth="1" min="10" max="10"/>
  </cols>
  <sheetData>
    <row r="1" ht="24" customHeight="1">
      <c r="A1" s="167" t="inlineStr">
        <is>
          <t>MB Car Audio architecture — confirmed conversation mapping</t>
        </is>
      </c>
    </row>
    <row r="2" ht="35" customHeight="1">
      <c r="A2" s="168" t="inlineStr">
        <is>
          <t>This sheet separates installer-confirmed routing from engineering assumptions. No invented per-pin channel assignment is used.</t>
        </is>
      </c>
    </row>
    <row r="4" ht="32" customHeight="1">
      <c r="A4" s="169" t="inlineStr">
        <is>
          <t>Zone</t>
        </is>
      </c>
      <c r="B4" s="169" t="inlineStr">
        <is>
          <t>Primary hardware</t>
        </is>
      </c>
      <c r="C4" s="169" t="inlineStr">
        <is>
          <t>Speaker/load group</t>
        </is>
      </c>
      <c r="D4" s="169" t="inlineStr">
        <is>
          <t>Status</t>
        </is>
      </c>
      <c r="E4" s="169" t="inlineStr">
        <is>
          <t>Installer evidence</t>
        </is>
      </c>
      <c r="F4" s="169" t="inlineStr">
        <is>
          <t>DSP/amp implication</t>
        </is>
      </c>
      <c r="G4" s="169" t="inlineStr">
        <is>
          <t>SOP9 decision</t>
        </is>
      </c>
      <c r="H4" s="169" t="inlineStr">
        <is>
          <t>Open verification</t>
        </is>
      </c>
      <c r="I4" s="169" t="inlineStr">
        <is>
          <t>Source type</t>
        </is>
      </c>
      <c r="J4" s="169" t="inlineStr">
        <is>
          <t>Notes</t>
        </is>
      </c>
    </row>
    <row r="5" ht="54" customHeight="1">
      <c r="A5" s="15" t="inlineStr">
        <is>
          <t>Front</t>
        </is>
      </c>
      <c r="B5" s="15" t="inlineStr">
        <is>
          <t>Audison AF M8.14 bit</t>
        </is>
      </c>
      <c r="C5" s="15" t="inlineStr">
        <is>
          <t>Everything in front / front stage</t>
        </is>
      </c>
      <c r="D5" s="37" t="inlineStr">
        <is>
          <t>CONFIRMED</t>
        </is>
      </c>
      <c r="E5" s="15" t="inlineStr">
        <is>
          <t>MB: main DSP handles everything at the front</t>
        </is>
      </c>
      <c r="F5" s="15" t="inlineStr">
        <is>
          <t>Main DSP + front amplifier</t>
        </is>
      </c>
      <c r="G5" s="15" t="inlineStr">
        <is>
          <t>KEEP</t>
        </is>
      </c>
      <c r="H5" s="15" t="inlineStr">
        <is>
          <t>Exact Focal-to-SOP9 per-channel map / crossovers</t>
        </is>
      </c>
      <c r="I5" s="15" t="inlineStr">
        <is>
          <t>Installer conversation</t>
        </is>
      </c>
      <c r="J5" s="15" t="inlineStr">
        <is>
          <t>Center ICC remains a front-stage component.</t>
        </is>
      </c>
    </row>
    <row r="6" ht="54" customHeight="1">
      <c r="A6" s="15" t="inlineStr">
        <is>
          <t>Rear</t>
        </is>
      </c>
      <c r="B6" s="15" t="inlineStr">
        <is>
          <t>Audison AF M4D</t>
        </is>
      </c>
      <c r="C6" s="15" t="inlineStr">
        <is>
          <t>Rear woofers + rear midranges</t>
        </is>
      </c>
      <c r="D6" s="37" t="inlineStr">
        <is>
          <t>CONFIRMED</t>
        </is>
      </c>
      <c r="E6" s="15" t="inlineStr">
        <is>
          <t>MB: M4D intended for everything behind front seats</t>
        </is>
      </c>
      <c r="F6" s="15" t="inlineStr">
        <is>
          <t>4-channel rear companion amp</t>
        </is>
      </c>
      <c r="G6" s="15" t="inlineStr">
        <is>
          <t>KEEP</t>
        </is>
      </c>
      <c r="H6" s="15" t="inlineStr">
        <is>
          <t>Exact grouping/passive crossover topology</t>
        </is>
      </c>
      <c r="I6" s="15" t="inlineStr">
        <is>
          <t>Installer conversation</t>
        </is>
      </c>
      <c r="J6" s="15" t="inlineStr">
        <is>
          <t>Optional rear tweeters only if desired.</t>
        </is>
      </c>
    </row>
    <row r="7" ht="54" customHeight="1">
      <c r="A7" s="15" t="inlineStr">
        <is>
          <t>Rear optional</t>
        </is>
      </c>
      <c r="B7" s="15" t="inlineStr">
        <is>
          <t>Audison AF M4D</t>
        </is>
      </c>
      <c r="C7" s="15" t="inlineStr">
        <is>
          <t>Additional rear tweeters</t>
        </is>
      </c>
      <c r="D7" s="19" t="inlineStr">
        <is>
          <t>OPTIONAL</t>
        </is>
      </c>
      <c r="E7" s="15" t="inlineStr">
        <is>
          <t>MB explicitly mentioned as optional</t>
        </is>
      </c>
      <c r="F7" s="15" t="inlineStr">
        <is>
          <t>Would share/group rear architecture as engineered</t>
        </is>
      </c>
      <c r="G7" s="15" t="inlineStr">
        <is>
          <t>OPTIONAL</t>
        </is>
      </c>
      <c r="H7" s="15" t="inlineStr">
        <is>
          <t>Whether used at all; final channel/load map</t>
        </is>
      </c>
      <c r="I7" s="15" t="inlineStr">
        <is>
          <t>Installer conversation</t>
        </is>
      </c>
      <c r="J7" s="15" t="inlineStr">
        <is>
          <t>Do not consume channels without acoustic reason.</t>
        </is>
      </c>
    </row>
    <row r="8" ht="54" customHeight="1">
      <c r="A8" s="15" t="inlineStr">
        <is>
          <t>Sub</t>
        </is>
      </c>
      <c r="B8" s="15" t="inlineStr">
        <is>
          <t>Audison AF M1D</t>
        </is>
      </c>
      <c r="C8" s="15" t="inlineStr">
        <is>
          <t>2 × Pioneer TS-WX1220AH donor woofers</t>
        </is>
      </c>
      <c r="D8" s="37" t="inlineStr">
        <is>
          <t>PROVISIONAL / HIGH CONFIDENCE</t>
        </is>
      </c>
      <c r="E8" s="15" t="inlineStr">
        <is>
          <t>Conversation indicates donor woofers are retained and likely driven by one Audison amp</t>
        </is>
      </c>
      <c r="F8" s="15" t="inlineStr">
        <is>
          <t>Dedicated mono sub amp</t>
        </is>
      </c>
      <c r="G8" s="15" t="inlineStr">
        <is>
          <t>KEEP DONOR DRIVERS</t>
        </is>
      </c>
      <c r="H8" s="15" t="inlineStr">
        <is>
          <t>Measure each loose donor driver DCR/impedance and confirm series/parallel load before connection</t>
        </is>
      </c>
      <c r="I8" s="15" t="inlineStr">
        <is>
          <t>Installer conversation + engineering inference</t>
        </is>
      </c>
      <c r="J8" s="15" t="inlineStr">
        <is>
          <t>Do not reuse earlier assumed Pioneer load without measurement.</t>
        </is>
      </c>
    </row>
    <row r="9" ht="54" customHeight="1">
      <c r="A9" s="15" t="inlineStr">
        <is>
          <t>Upper/headliner immersive</t>
        </is>
      </c>
      <c r="B9" s="15" t="inlineStr">
        <is>
          <t>OMIT</t>
        </is>
      </c>
      <c r="C9" s="15" t="inlineStr">
        <is>
          <t>X569 / X579 upper center/headliner music positions</t>
        </is>
      </c>
      <c r="D9" s="19" t="inlineStr">
        <is>
          <t>CONFIRMED RECOMMENDATION</t>
        </is>
      </c>
      <c r="E9" s="15" t="inlineStr">
        <is>
          <t>MB and previous installer independently advised omission for music</t>
        </is>
      </c>
      <c r="F9" s="15" t="inlineStr">
        <is>
          <t>No amplifier channels reserved</t>
        </is>
      </c>
      <c r="G9" s="15" t="inlineStr">
        <is>
          <t>OMIT FOR MUSIC</t>
        </is>
      </c>
      <c r="H9" s="15" t="inlineStr">
        <is>
          <t>None unless later cinematic/immersive experiment requested</t>
        </is>
      </c>
      <c r="I9" s="15" t="inlineStr">
        <is>
          <t>Two installer recommendations</t>
        </is>
      </c>
      <c r="J9" s="15" t="inlineStr">
        <is>
          <t>Reported OEM use is minimal for music; mainly immersive/movie context.</t>
        </is>
      </c>
    </row>
    <row r="10" ht="54" customHeight="1">
      <c r="A10" s="15" t="inlineStr">
        <is>
          <t>Dashboard center</t>
        </is>
      </c>
      <c r="B10" s="15" t="inlineStr">
        <is>
          <t>Audison AF M8.14 bit + Focal ICC T3Y 100</t>
        </is>
      </c>
      <c r="C10" s="15" t="inlineStr">
        <is>
          <t>Center stage</t>
        </is>
      </c>
      <c r="D10" s="19" t="inlineStr">
        <is>
          <t>KEEP</t>
        </is>
      </c>
      <c r="E10" s="15" t="inlineStr">
        <is>
          <t>ICC is included in actual MB hardware quote</t>
        </is>
      </c>
      <c r="F10" s="15" t="inlineStr">
        <is>
          <t>Front-stage DSP channel</t>
        </is>
      </c>
      <c r="G10" s="15" t="inlineStr">
        <is>
          <t>KEEP</t>
        </is>
      </c>
      <c r="H10" s="15" t="inlineStr">
        <is>
          <t>Final level/EQ and exact SOP9 connector</t>
        </is>
      </c>
      <c r="I10" s="15" t="inlineStr">
        <is>
          <t>Quote + installer architecture</t>
        </is>
      </c>
      <c r="J10" s="15" t="inlineStr">
        <is>
          <t>Not the same as the omitted upper/headliner immersive speakers.</t>
        </is>
      </c>
    </row>
    <row r="11" ht="54" customHeight="1">
      <c r="A11" s="15" t="inlineStr">
        <is>
          <t>Tesla interface</t>
        </is>
      </c>
      <c r="B11" s="15" t="inlineStr">
        <is>
          <t>MATCH PP-TES 1.7B Highland</t>
        </is>
      </c>
      <c r="C11" s="15" t="inlineStr">
        <is>
          <t>OEM signal harness basis</t>
        </is>
      </c>
      <c r="D11" s="19" t="inlineStr">
        <is>
          <t>CONFIRMED PRODUCT / CUSTOM AUDISON USE</t>
        </is>
      </c>
      <c r="E11" s="15" t="inlineStr">
        <is>
          <t>Quoted by MB</t>
        </is>
      </c>
      <c r="F11" s="15" t="inlineStr">
        <is>
          <t>Interposer requires Audison-side engineering</t>
        </is>
      </c>
      <c r="G11" s="15" t="inlineStr">
        <is>
          <t>KEEP</t>
        </is>
      </c>
      <c r="H11" s="15" t="inlineStr">
        <is>
          <t>Pinout/repin and signal mapping</t>
        </is>
      </c>
      <c r="I11" s="15" t="inlineStr">
        <is>
          <t>Quote + manufacturer docs</t>
        </is>
      </c>
      <c r="J11" s="15" t="inlineStr">
        <is>
          <t>Manufacturer officially specifies UP10DSP use; Audison use is custom.</t>
        </is>
      </c>
    </row>
  </sheetData>
  <autoFilter ref="A4:J11"/>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0" workbookViewId="0">
      <pane ySplit="4" topLeftCell="A5" activePane="bottomLeft" state="frozen"/>
      <selection pane="bottomLeft" activeCell="A1" sqref="A1"/>
    </sheetView>
  </sheetViews>
  <sheetFormatPr baseColWidth="8" defaultRowHeight="15"/>
  <cols>
    <col width="28" customWidth="1" min="1" max="1"/>
    <col width="52" customWidth="1" min="2" max="2"/>
    <col width="52" customWidth="1" min="3" max="3"/>
    <col width="42" customWidth="1" min="4" max="4"/>
    <col width="24" customWidth="1" min="5" max="5"/>
    <col width="48" customWidth="1" min="6" max="6"/>
    <col width="48" customWidth="1" min="7" max="7"/>
    <col width="14" customWidth="1" min="8" max="8"/>
    <col width="54" customWidth="1" min="9" max="9"/>
  </cols>
  <sheetData>
    <row r="1" ht="24" customHeight="1">
      <c r="A1" s="167" t="inlineStr">
        <is>
          <t>DSP tuning comparison — Audison vs HELIX</t>
        </is>
      </c>
    </row>
    <row r="2" ht="35" customHeight="1">
      <c r="A2" s="168" t="inlineStr">
        <is>
          <t>Manufacturer capabilities are separated from MB Car Audio field experience. The earlier claim “HELIX is purely manual” is corrected: HELIX has automation, but not an equivalent fully automatic end-to-end workflow.</t>
        </is>
      </c>
    </row>
    <row r="4" ht="32" customHeight="1">
      <c r="A4" s="169" t="inlineStr">
        <is>
          <t>Aspect</t>
        </is>
      </c>
      <c r="B4" s="169" t="inlineStr">
        <is>
          <t>Audison / bit Drive 3.1 + ACCORDO</t>
        </is>
      </c>
      <c r="C4" s="169" t="inlineStr">
        <is>
          <t>HELIX / DSP PC-Tool 6</t>
        </is>
      </c>
      <c r="D4" s="169" t="inlineStr">
        <is>
          <t>Assessment</t>
        </is>
      </c>
      <c r="E4" s="169" t="inlineStr">
        <is>
          <t>Evidence type</t>
        </is>
      </c>
      <c r="F4" s="169" t="inlineStr">
        <is>
          <t>Audison source</t>
        </is>
      </c>
      <c r="G4" s="169" t="inlineStr">
        <is>
          <t>HELIX source</t>
        </is>
      </c>
      <c r="H4" s="169" t="inlineStr">
        <is>
          <t>Checked</t>
        </is>
      </c>
      <c r="I4" s="169" t="inlineStr">
        <is>
          <t>Notes</t>
        </is>
      </c>
    </row>
    <row r="5" ht="62" customHeight="1">
      <c r="A5" s="15" t="inlineStr">
        <is>
          <t>Measurement microphone</t>
        </is>
      </c>
      <c r="B5" s="15" t="inlineStr">
        <is>
          <t>Supported USB measurement microphones / interfaces</t>
        </is>
      </c>
      <c r="C5" s="15" t="inlineStr">
        <is>
          <t>Supported measurement workflow</t>
        </is>
      </c>
      <c r="D5" s="15" t="inlineStr">
        <is>
          <t>Both support acoustic measurement</t>
        </is>
      </c>
      <c r="E5" s="15" t="inlineStr">
        <is>
          <t>Manufacturer</t>
        </is>
      </c>
      <c r="F5" s="44" t="inlineStr">
        <is>
          <t>https://audison.com/bit-drive-3-1/</t>
        </is>
      </c>
      <c r="G5" s="44" t="inlineStr">
        <is>
          <t>https://www.audiotec-fischer.de/en/tools/dsp-pc-tool/download-6</t>
        </is>
      </c>
      <c r="H5" s="15" t="inlineStr">
        <is>
          <t>2026-09-10</t>
        </is>
      </c>
      <c r="I5" s="15" t="inlineStr">
        <is>
          <t>Use a calibrated microphone and correct mic file where applicable.</t>
        </is>
      </c>
    </row>
    <row r="6" ht="62" customHeight="1">
      <c r="A6" s="15" t="inlineStr">
        <is>
          <t>Automatic output EQ</t>
        </is>
      </c>
      <c r="B6" s="15" t="inlineStr">
        <is>
          <t>ACCORDO automatically tunes output EQ</t>
        </is>
      </c>
      <c r="C6" s="15" t="inlineStr">
        <is>
          <t>TuneEQ / TuneToTarget provide assisted/automatic EQ functions</t>
        </is>
      </c>
      <c r="D6" s="15" t="inlineStr">
        <is>
          <t>Both have EQ automation</t>
        </is>
      </c>
      <c r="E6" s="15" t="inlineStr">
        <is>
          <t>Manufacturer</t>
        </is>
      </c>
      <c r="F6" s="44" t="inlineStr">
        <is>
          <t>https://audison.zendesk.com/hc/en-gb/articles/35741332904465-bit-Drive-User-manual</t>
        </is>
      </c>
      <c r="G6" s="44" t="inlineStr">
        <is>
          <t>https://www.audiotec-fischer.de/en/tools/dsp-pc-tool/download-6</t>
        </is>
      </c>
      <c r="H6" s="15" t="inlineStr">
        <is>
          <t>2026-09-10</t>
        </is>
      </c>
      <c r="I6" s="15" t="inlineStr">
        <is>
          <t>HELIX is not correctly described as “measurement only”.</t>
        </is>
      </c>
    </row>
    <row r="7" ht="62" customHeight="1">
      <c r="A7" s="15" t="inlineStr">
        <is>
          <t>Automatic time alignment / delay</t>
        </is>
      </c>
      <c r="B7" s="15" t="inlineStr">
        <is>
          <t>ACCORDO calculates/tunes delays as part of automatic tune</t>
        </is>
      </c>
      <c r="C7" s="15" t="inlineStr">
        <is>
          <t>DSP PC-Tool 6 includes Automatic Time Measurement / assisted time workflow</t>
        </is>
      </c>
      <c r="D7" s="15" t="inlineStr">
        <is>
          <t>Audison more integrated in one workflow</t>
        </is>
      </c>
      <c r="E7" s="15" t="inlineStr">
        <is>
          <t>Manufacturer</t>
        </is>
      </c>
      <c r="F7" s="44" t="inlineStr">
        <is>
          <t>https://audison.zendesk.com/hc/en-gb/articles/35741332904465-bit-Drive-User-manual</t>
        </is>
      </c>
      <c r="G7" s="44" t="inlineStr">
        <is>
          <t>https://www.audiotec-fischer.de/en/tools/dsp-pc-tool/download-6</t>
        </is>
      </c>
      <c r="H7" s="15" t="inlineStr">
        <is>
          <t>2026-09-10</t>
        </is>
      </c>
      <c r="I7" s="15" t="inlineStr">
        <is>
          <t>Exact final workflow still depends on system topology.</t>
        </is>
      </c>
    </row>
    <row r="8" ht="62" customHeight="1">
      <c r="A8" s="15" t="inlineStr">
        <is>
          <t>Automatic output levels</t>
        </is>
      </c>
      <c r="B8" s="15" t="inlineStr">
        <is>
          <t>ACCORDO tunes output levels and system level calibration</t>
        </is>
      </c>
      <c r="C8" s="15" t="inlineStr">
        <is>
          <t>TuneToTarget includes automatic output level adjustment; final calibration still specialist-driven</t>
        </is>
      </c>
      <c r="D8" s="15" t="inlineStr">
        <is>
          <t>Both automate levels to a degree; Audison positions ACCORDO as fuller auto-tune</t>
        </is>
      </c>
      <c r="E8" s="15" t="inlineStr">
        <is>
          <t>Manufacturer</t>
        </is>
      </c>
      <c r="F8" s="44" t="inlineStr">
        <is>
          <t>https://audison.com/bit-drive-3-1/</t>
        </is>
      </c>
      <c r="G8" s="44" t="inlineStr">
        <is>
          <t>https://www.audiotec-fischer.de/en/tools/dsp-pc-tool/download-6</t>
        </is>
      </c>
      <c r="H8" s="15" t="inlineStr">
        <is>
          <t>2026-09-10</t>
        </is>
      </c>
      <c r="I8" s="15" t="inlineStr">
        <is>
          <t>Avoid “HELIX cannot auto-adjust anything”.</t>
        </is>
      </c>
    </row>
    <row r="9" ht="62" customHeight="1">
      <c r="A9" s="15" t="inlineStr">
        <is>
          <t>Fully automatic claim</t>
        </is>
      </c>
      <c r="B9" s="15" t="inlineStr">
        <is>
          <t>Audison explicitly markets ACCORDO as automatic system tuning</t>
        </is>
      </c>
      <c r="C9" s="15" t="inlineStr">
        <is>
          <t>Audiotec Fischer explicitly describes TuneToTarget as partially automated, not a fully automatic tuning system</t>
        </is>
      </c>
      <c r="D9" s="15" t="inlineStr">
        <is>
          <t>Meaningful Audison workflow advantage</t>
        </is>
      </c>
      <c r="E9" s="15" t="inlineStr">
        <is>
          <t>Manufacturer</t>
        </is>
      </c>
      <c r="F9" s="44" t="inlineStr">
        <is>
          <t>https://audison.com/bit-drive-3-1/</t>
        </is>
      </c>
      <c r="G9" s="44" t="inlineStr">
        <is>
          <t>https://www.audiotec-fischer.de/en/tools/dsp-pc-tool/download-6</t>
        </is>
      </c>
      <c r="H9" s="15" t="inlineStr">
        <is>
          <t>2026-09-10</t>
        </is>
      </c>
      <c r="I9" s="15" t="inlineStr">
        <is>
          <t>HELIX still expects correct crossovers, polarity, time alignment preparation and expert final calibration.</t>
        </is>
      </c>
    </row>
    <row r="10" ht="62" customHeight="1">
      <c r="A10" s="15" t="inlineStr">
        <is>
          <t>Typical installer tuning time</t>
        </is>
      </c>
      <c r="B10" s="15" t="inlineStr">
        <is>
          <t>~3 hours average</t>
        </is>
      </c>
      <c r="C10" s="15" t="inlineStr">
        <is>
          <t>~8 hours average</t>
        </is>
      </c>
      <c r="D10" s="15" t="inlineStr">
        <is>
          <t>~5 h practical delta in MB experience</t>
        </is>
      </c>
      <c r="E10" s="15" t="inlineStr">
        <is>
          <t>MB Car Audio field experience</t>
        </is>
      </c>
      <c r="F10" s="15" t="inlineStr"/>
      <c r="G10" s="15" t="inlineStr"/>
      <c r="H10" s="15" t="inlineStr">
        <is>
          <t>2026-09-10</t>
        </is>
      </c>
      <c r="I10" s="15" t="inlineStr">
        <is>
          <t>Not a manufacturer benchmark or guaranteed project duration.</t>
        </is>
      </c>
    </row>
    <row r="11" ht="62" customHeight="1">
      <c r="A11" s="15" t="inlineStr">
        <is>
          <t>Preset handling</t>
        </is>
      </c>
      <c r="B11" s="15" t="inlineStr">
        <is>
          <t>Each setup/preset still needs final validation</t>
        </is>
      </c>
      <c r="C11" s="15" t="inlineStr">
        <is>
          <t>Each setup/preset still needs final validation</t>
        </is>
      </c>
      <c r="D11" s="15" t="inlineStr">
        <is>
          <t>Do not assume one tune covers every listening target automatically</t>
        </is>
      </c>
      <c r="E11" s="15" t="inlineStr">
        <is>
          <t>Engineering</t>
        </is>
      </c>
      <c r="F11" s="15" t="inlineStr"/>
      <c r="G11" s="15" t="inlineStr"/>
      <c r="H11" s="15" t="inlineStr">
        <is>
          <t>2026-09-10</t>
        </is>
      </c>
      <c r="I11" s="15" t="inlineStr">
        <is>
          <t>Keep measurement evidence per final preset.</t>
        </is>
      </c>
    </row>
  </sheetData>
  <autoFilter ref="A4:I11"/>
  <mergeCells count="2">
    <mergeCell ref="A1:I1"/>
    <mergeCell ref="A2:I2"/>
  </mergeCells>
  <hyperlinks>
    <hyperlink xmlns:r="http://schemas.openxmlformats.org/officeDocument/2006/relationships" ref="F5" r:id="rId1"/>
    <hyperlink xmlns:r="http://schemas.openxmlformats.org/officeDocument/2006/relationships" ref="G5" r:id="rId2"/>
    <hyperlink xmlns:r="http://schemas.openxmlformats.org/officeDocument/2006/relationships" ref="F6" r:id="rId3"/>
    <hyperlink xmlns:r="http://schemas.openxmlformats.org/officeDocument/2006/relationships" ref="G6" r:id="rId4"/>
    <hyperlink xmlns:r="http://schemas.openxmlformats.org/officeDocument/2006/relationships" ref="F7" r:id="rId5"/>
    <hyperlink xmlns:r="http://schemas.openxmlformats.org/officeDocument/2006/relationships" ref="G7" r:id="rId6"/>
    <hyperlink xmlns:r="http://schemas.openxmlformats.org/officeDocument/2006/relationships" ref="F8" r:id="rId7"/>
    <hyperlink xmlns:r="http://schemas.openxmlformats.org/officeDocument/2006/relationships" ref="G8" r:id="rId8"/>
    <hyperlink xmlns:r="http://schemas.openxmlformats.org/officeDocument/2006/relationships" ref="F9" r:id="rId9"/>
    <hyperlink xmlns:r="http://schemas.openxmlformats.org/officeDocument/2006/relationships" ref="G9"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71"/>
  <sheetViews>
    <sheetView showGridLines="0" workbookViewId="0">
      <pane ySplit="4" topLeftCell="A5" activePane="bottomLeft" state="frozen"/>
      <selection pane="bottomLeft" activeCell="A1" sqref="A1"/>
    </sheetView>
  </sheetViews>
  <sheetFormatPr baseColWidth="8" defaultRowHeight="15"/>
  <cols>
    <col width="9" customWidth="1" min="1" max="1"/>
    <col width="33" customWidth="1" min="2" max="2"/>
    <col width="20" customWidth="1" min="3" max="3"/>
    <col width="12" customWidth="1" min="4" max="4"/>
    <col width="7" customWidth="1" min="5" max="5"/>
    <col width="14" customWidth="1" min="6" max="6"/>
    <col width="12" customWidth="1" min="7" max="7"/>
    <col width="26" customWidth="1" min="8" max="8"/>
    <col width="48" customWidth="1" min="9" max="9"/>
    <col width="12" customWidth="1" min="10" max="10"/>
    <col width="26" customWidth="1" min="11" max="11"/>
    <col width="48" customWidth="1" min="12" max="12"/>
    <col width="12" customWidth="1" min="13" max="13"/>
    <col width="26" customWidth="1" min="14" max="14"/>
    <col width="48" customWidth="1" min="15" max="15"/>
    <col width="12" customWidth="1" min="16" max="16"/>
    <col width="26" customWidth="1" min="17" max="17"/>
    <col width="48" customWidth="1" min="18" max="18"/>
    <col width="13" customWidth="1" min="19" max="19"/>
    <col width="15" customWidth="1" min="20" max="20"/>
    <col width="16" customWidth="1" min="21" max="21"/>
    <col width="14" customWidth="1" min="22" max="22"/>
    <col width="17" customWidth="1" min="23" max="23"/>
    <col width="18" customWidth="1" min="24" max="24"/>
    <col width="14" customWidth="1" min="25" max="25"/>
    <col width="13" customWidth="1" min="26" max="26"/>
    <col width="23" customWidth="1" min="27" max="27"/>
    <col width="58" customWidth="1" min="28" max="28"/>
    <col width="48" customWidth="1" min="29" max="29"/>
    <col width="24" customWidth="1" min="30" max="30"/>
  </cols>
  <sheetData>
    <row r="1" ht="24" customHeight="1">
      <c r="A1" s="167" t="inlineStr">
        <is>
          <t>EU price matrix v2.1 — NL / DE / BE / FR</t>
        </is>
      </c>
    </row>
    <row r="2" ht="35" customHeight="1">
      <c r="A2" s="168" t="inlineStr">
        <is>
          <t>Snapshot 2026-09-10. “Average” = average of available lowest observed market prices (one low per country), not a statistical market-wide average. Blank market = no sufficiently reliable current indexed local offer captured. Shipping/checkout/stock remain final-order checks.</t>
        </is>
      </c>
    </row>
    <row r="4" ht="32" customHeight="1">
      <c r="A4" s="169" t="inlineStr">
        <is>
          <t>Priority</t>
        </is>
      </c>
      <c r="B4" s="169" t="inlineStr">
        <is>
          <t>Product</t>
        </is>
      </c>
      <c r="C4" s="169" t="inlineStr">
        <is>
          <t>Category</t>
        </is>
      </c>
      <c r="D4" s="169" t="inlineStr">
        <is>
          <t>In MB quote</t>
        </is>
      </c>
      <c r="E4" s="169" t="inlineStr">
        <is>
          <t>Qty</t>
        </is>
      </c>
      <c r="F4" s="169" t="inlineStr">
        <is>
          <t>MB quote €/unit</t>
        </is>
      </c>
      <c r="G4" s="169" t="inlineStr">
        <is>
          <t>NL low €</t>
        </is>
      </c>
      <c r="H4" s="169" t="inlineStr">
        <is>
          <t>NL seller</t>
        </is>
      </c>
      <c r="I4" s="169" t="inlineStr">
        <is>
          <t>NL source</t>
        </is>
      </c>
      <c r="J4" s="169" t="inlineStr">
        <is>
          <t>DE low €</t>
        </is>
      </c>
      <c r="K4" s="169" t="inlineStr">
        <is>
          <t>DE seller</t>
        </is>
      </c>
      <c r="L4" s="169" t="inlineStr">
        <is>
          <t>DE source</t>
        </is>
      </c>
      <c r="M4" s="169" t="inlineStr">
        <is>
          <t>BE low €</t>
        </is>
      </c>
      <c r="N4" s="169" t="inlineStr">
        <is>
          <t>BE seller</t>
        </is>
      </c>
      <c r="O4" s="169" t="inlineStr">
        <is>
          <t>BE source</t>
        </is>
      </c>
      <c r="P4" s="169" t="inlineStr">
        <is>
          <t>FR low €</t>
        </is>
      </c>
      <c r="Q4" s="169" t="inlineStr">
        <is>
          <t>FR seller</t>
        </is>
      </c>
      <c r="R4" s="169" t="inlineStr">
        <is>
          <t>FR source</t>
        </is>
      </c>
      <c r="S4" s="169" t="inlineStr">
        <is>
          <t>Cheapest €</t>
        </is>
      </c>
      <c r="T4" s="169" t="inlineStr">
        <is>
          <t>Cheapest market</t>
        </is>
      </c>
      <c r="U4" s="169" t="inlineStr">
        <is>
          <t>Avg country-low €</t>
        </is>
      </c>
      <c r="V4" s="169" t="inlineStr">
        <is>
          <t>Country coverage</t>
        </is>
      </c>
      <c r="W4" s="169" t="inlineStr">
        <is>
          <t>Saving vs MB / unit</t>
        </is>
      </c>
      <c r="X4" s="169" t="inlineStr">
        <is>
          <t>Saving vs MB total</t>
        </is>
      </c>
      <c r="Y4" s="169" t="inlineStr">
        <is>
          <t>Checked</t>
        </is>
      </c>
      <c r="Z4" s="169" t="inlineStr">
        <is>
          <t>Confidence</t>
        </is>
      </c>
      <c r="AA4" s="169" t="inlineStr">
        <is>
          <t>Price action</t>
        </is>
      </c>
      <c r="AB4" s="169" t="inlineStr">
        <is>
          <t>Notes</t>
        </is>
      </c>
      <c r="AC4" s="169" t="inlineStr">
        <is>
          <t>Documentation / official source</t>
        </is>
      </c>
      <c r="AD4" s="169" t="inlineStr">
        <is>
          <t>Purchase relevance</t>
        </is>
      </c>
    </row>
    <row r="5" ht="48" customHeight="1">
      <c r="A5" s="170" t="inlineStr">
        <is>
          <t>A</t>
        </is>
      </c>
      <c r="B5" s="170" t="inlineStr">
        <is>
          <t>Audison AF LINK</t>
        </is>
      </c>
      <c r="C5" s="170" t="inlineStr">
        <is>
          <t>Interconnect</t>
        </is>
      </c>
      <c r="D5" s="171" t="inlineStr">
        <is>
          <t>YES</t>
        </is>
      </c>
      <c r="E5" s="170" t="n">
        <v>1</v>
      </c>
      <c r="F5" s="172" t="n">
        <v>18.95</v>
      </c>
      <c r="G5" s="52" t="n">
        <v>18.95</v>
      </c>
      <c r="H5" s="170" t="inlineStr">
        <is>
          <t>MB Car Audio quote</t>
        </is>
      </c>
      <c r="I5" s="170" t="inlineStr">
        <is>
          <t>Reference_Assets/MB_Car_Audio_Proposal_2026-09-10/MB_Car_Audio_quote_cart_2026-09-10.png</t>
        </is>
      </c>
      <c r="J5" s="52" t="n"/>
      <c r="K5" s="170" t="inlineStr">
        <is>
          <t>NO CURRENT INDEXED LOCAL OFFER FOUND</t>
        </is>
      </c>
      <c r="L5" s="170" t="inlineStr"/>
      <c r="M5" s="52" t="n"/>
      <c r="N5" s="170" t="inlineStr">
        <is>
          <t>NO CURRENT INDEXED LOCAL OFFER FOUND</t>
        </is>
      </c>
      <c r="O5" s="170" t="inlineStr"/>
      <c r="P5" s="52" t="n">
        <v>29.9</v>
      </c>
      <c r="Q5" s="170" t="inlineStr">
        <is>
          <t>Multison</t>
        </is>
      </c>
      <c r="R5" s="44" t="inlineStr">
        <is>
          <t>https://multison.fr/products/audison-af-link-cable-cable-de-liaison-pour-amplificateurs-af-bit-et-af-d</t>
        </is>
      </c>
      <c r="S5" s="173">
        <f>IF(COUNT(G5,J5,M5,P5)=0,"",MIN(G5,J5,M5,P5))</f>
        <v/>
      </c>
      <c r="T5" s="174">
        <f>IF(S5="","",IF(G5=S5,"NL",IF(J5=S5,"DE",IF(M5=S5,"BE","FR"))))</f>
        <v/>
      </c>
      <c r="U5" s="173">
        <f>IF(COUNT(G5,J5,M5,P5)=0,"",AVERAGE(G5,J5,M5,P5))</f>
        <v/>
      </c>
      <c r="V5" s="174">
        <f>COUNT(G5,J5,M5,P5)</f>
        <v/>
      </c>
      <c r="W5" s="173">
        <f>IF(OR(F5="",S5=""),"",F5-S5)</f>
        <v/>
      </c>
      <c r="X5" s="173">
        <f>IF(OR(E5="",W5=""),"",E5*W5)</f>
        <v/>
      </c>
      <c r="Y5" s="170" t="inlineStr">
        <is>
          <t>2026-09-10</t>
        </is>
      </c>
      <c r="Z5" s="170" t="inlineStr">
        <is>
          <t>MEDIUM</t>
        </is>
      </c>
      <c r="AA5" s="170" t="inlineStr">
        <is>
          <t>KEEP MB / CONVENIENCE</t>
        </is>
      </c>
      <c r="AB5" s="170" t="inlineStr"/>
      <c r="AC5" s="44" t="inlineStr">
        <is>
          <t>https://audison.com/</t>
        </is>
      </c>
      <c r="AD5" s="170" t="inlineStr">
        <is>
          <t>CURRENT MB QUOTE</t>
        </is>
      </c>
    </row>
    <row r="6" ht="48" customHeight="1">
      <c r="A6" s="170" t="inlineStr">
        <is>
          <t>A</t>
        </is>
      </c>
      <c r="B6" s="170" t="inlineStr">
        <is>
          <t>Audison AF M1D</t>
        </is>
      </c>
      <c r="C6" s="170" t="inlineStr">
        <is>
          <t>Sub amplifier</t>
        </is>
      </c>
      <c r="D6" s="171" t="inlineStr">
        <is>
          <t>YES</t>
        </is>
      </c>
      <c r="E6" s="170" t="n">
        <v>1</v>
      </c>
      <c r="F6" s="172" t="n">
        <v>599</v>
      </c>
      <c r="G6" s="52" t="n">
        <v>599</v>
      </c>
      <c r="H6" s="170" t="inlineStr">
        <is>
          <t>MB Car Audio quote</t>
        </is>
      </c>
      <c r="I6" s="170" t="inlineStr">
        <is>
          <t>Reference_Assets/MB_Car_Audio_Proposal_2026-09-10/MB_Car_Audio_quote_cart_2026-09-10.png</t>
        </is>
      </c>
      <c r="J6" s="52" t="n">
        <v>595.9</v>
      </c>
      <c r="K6" s="170" t="inlineStr">
        <is>
          <t>Audiomativ</t>
        </is>
      </c>
      <c r="L6" s="44" t="inlineStr">
        <is>
          <t>https://www.audiomativ.de/Car-HiFi-Navigation/Endstufen/1-Kanal/</t>
        </is>
      </c>
      <c r="M6" s="52" t="n"/>
      <c r="N6" s="170" t="inlineStr">
        <is>
          <t>NO CURRENT INDEXED LOCAL OFFER FOUND</t>
        </is>
      </c>
      <c r="O6" s="170" t="inlineStr"/>
      <c r="P6" s="52" t="n">
        <v>599</v>
      </c>
      <c r="Q6" s="170" t="inlineStr">
        <is>
          <t>Sebasto / Multison</t>
        </is>
      </c>
      <c r="R6" s="44" t="inlineStr">
        <is>
          <t>https://multison.fr/</t>
        </is>
      </c>
      <c r="S6" s="173">
        <f>IF(COUNT(G6,J6,M6,P6)=0,"",MIN(G6,J6,M6,P6))</f>
        <v/>
      </c>
      <c r="T6" s="174">
        <f>IF(S6="","",IF(G6=S6,"NL",IF(J6=S6,"DE",IF(M6=S6,"BE","FR"))))</f>
        <v/>
      </c>
      <c r="U6" s="173">
        <f>IF(COUNT(G6,J6,M6,P6)=0,"",AVERAGE(G6,J6,M6,P6))</f>
        <v/>
      </c>
      <c r="V6" s="174">
        <f>COUNT(G6,J6,M6,P6)</f>
        <v/>
      </c>
      <c r="W6" s="173">
        <f>IF(OR(F6="",S6=""),"",F6-S6)</f>
        <v/>
      </c>
      <c r="X6" s="173">
        <f>IF(OR(E6="",W6=""),"",E6*W6)</f>
        <v/>
      </c>
      <c r="Y6" s="170" t="inlineStr">
        <is>
          <t>2026-09-10</t>
        </is>
      </c>
      <c r="Z6" s="170" t="inlineStr">
        <is>
          <t>MEDIUM</t>
        </is>
      </c>
      <c r="AA6" s="170" t="inlineStr">
        <is>
          <t>SPLIT-BUY CANDIDATE</t>
        </is>
      </c>
      <c r="AB6" s="170" t="inlineStr">
        <is>
          <t>Provisional donor-sub role; driver load verification required.</t>
        </is>
      </c>
      <c r="AC6" s="44" t="inlineStr">
        <is>
          <t>https://audison.com/product/af-m1d/</t>
        </is>
      </c>
      <c r="AD6" s="170" t="inlineStr">
        <is>
          <t>CURRENT MB QUOTE</t>
        </is>
      </c>
    </row>
    <row r="7" ht="48" customHeight="1">
      <c r="A7" s="170" t="inlineStr">
        <is>
          <t>A</t>
        </is>
      </c>
      <c r="B7" s="170" t="inlineStr">
        <is>
          <t>Audison AF M4D</t>
        </is>
      </c>
      <c r="C7" s="170" t="inlineStr">
        <is>
          <t>Amplifier</t>
        </is>
      </c>
      <c r="D7" s="171" t="inlineStr">
        <is>
          <t>YES</t>
        </is>
      </c>
      <c r="E7" s="170" t="n">
        <v>1</v>
      </c>
      <c r="F7" s="172" t="n">
        <v>599</v>
      </c>
      <c r="G7" s="52" t="n">
        <v>599</v>
      </c>
      <c r="H7" s="170" t="inlineStr">
        <is>
          <t>MB Car Audio quote</t>
        </is>
      </c>
      <c r="I7" s="170" t="inlineStr">
        <is>
          <t>Reference_Assets/MB_Car_Audio_Proposal_2026-09-10/MB_Car_Audio_quote_cart_2026-09-10.png</t>
        </is>
      </c>
      <c r="J7" s="52" t="n">
        <v>462.48</v>
      </c>
      <c r="K7" s="170" t="inlineStr">
        <is>
          <t>Audiomativ</t>
        </is>
      </c>
      <c r="L7" s="44" t="inlineStr">
        <is>
          <t>https://www.audiomativ.de/Marken-Shop/AUDISON/4-Kanal-Endstufen/</t>
        </is>
      </c>
      <c r="M7" s="52" t="n"/>
      <c r="N7" s="170" t="inlineStr">
        <is>
          <t>NO CURRENT INDEXED LOCAL OFFER FOUND</t>
        </is>
      </c>
      <c r="O7" s="170" t="inlineStr"/>
      <c r="P7" s="52" t="n">
        <v>649</v>
      </c>
      <c r="Q7" s="170" t="inlineStr">
        <is>
          <t>Multison</t>
        </is>
      </c>
      <c r="R7" s="44" t="inlineStr">
        <is>
          <t>https://multison.fr/</t>
        </is>
      </c>
      <c r="S7" s="173">
        <f>IF(COUNT(G7,J7,M7,P7)=0,"",MIN(G7,J7,M7,P7))</f>
        <v/>
      </c>
      <c r="T7" s="174">
        <f>IF(S7="","",IF(G7=S7,"NL",IF(J7=S7,"DE",IF(M7=S7,"BE","FR"))))</f>
        <v/>
      </c>
      <c r="U7" s="173">
        <f>IF(COUNT(G7,J7,M7,P7)=0,"",AVERAGE(G7,J7,M7,P7))</f>
        <v/>
      </c>
      <c r="V7" s="174">
        <f>COUNT(G7,J7,M7,P7)</f>
        <v/>
      </c>
      <c r="W7" s="173">
        <f>IF(OR(F7="",S7=""),"",F7-S7)</f>
        <v/>
      </c>
      <c r="X7" s="173">
        <f>IF(OR(E7="",W7=""),"",E7*W7)</f>
        <v/>
      </c>
      <c r="Y7" s="170" t="inlineStr">
        <is>
          <t>2026-09-10</t>
        </is>
      </c>
      <c r="Z7" s="170" t="inlineStr">
        <is>
          <t>MEDIUM</t>
        </is>
      </c>
      <c r="AA7" s="170" t="inlineStr">
        <is>
          <t>SPLIT-BUY CANDIDATE</t>
        </is>
      </c>
      <c r="AB7" s="170" t="inlineStr"/>
      <c r="AC7" s="44" t="inlineStr">
        <is>
          <t>https://audison.com/product/af-m4d/</t>
        </is>
      </c>
      <c r="AD7" s="170" t="inlineStr">
        <is>
          <t>CURRENT MB QUOTE</t>
        </is>
      </c>
    </row>
    <row r="8" ht="48" customHeight="1">
      <c r="A8" s="170" t="inlineStr">
        <is>
          <t>A</t>
        </is>
      </c>
      <c r="B8" s="170" t="inlineStr">
        <is>
          <t>Audison AF M8.14 bit</t>
        </is>
      </c>
      <c r="C8" s="170" t="inlineStr">
        <is>
          <t>DSP amplifier</t>
        </is>
      </c>
      <c r="D8" s="171" t="inlineStr">
        <is>
          <t>YES</t>
        </is>
      </c>
      <c r="E8" s="170" t="n">
        <v>1</v>
      </c>
      <c r="F8" s="172" t="n">
        <v>1199</v>
      </c>
      <c r="G8" s="52" t="n">
        <v>1199</v>
      </c>
      <c r="H8" s="170" t="inlineStr">
        <is>
          <t>AutoSound24 / ACR</t>
        </is>
      </c>
      <c r="I8" s="44" t="inlineStr">
        <is>
          <t>https://www.autosound24.nl/producten/AUD-DSPAMP-AF-M8-14BIT</t>
        </is>
      </c>
      <c r="J8" s="52" t="n">
        <v>1049</v>
      </c>
      <c r="K8" s="170" t="inlineStr">
        <is>
          <t>Audiomativ / Idealo</t>
        </is>
      </c>
      <c r="L8" s="44" t="inlineStr">
        <is>
          <t>https://www.idealo.de/preisvergleich/OffersOfProduct/203732550_-af-m8-14-bit-audison.html</t>
        </is>
      </c>
      <c r="M8" s="52" t="n"/>
      <c r="N8" s="170" t="inlineStr">
        <is>
          <t>NO CURRENT INDEXED LOCAL OFFER FOUND</t>
        </is>
      </c>
      <c r="O8" s="170" t="inlineStr"/>
      <c r="P8" s="52" t="n">
        <v>999</v>
      </c>
      <c r="Q8" s="170" t="inlineStr">
        <is>
          <t>Sebasto</t>
        </is>
      </c>
      <c r="R8" s="44" t="inlineStr">
        <is>
          <t>https://www.sebastoautoradio.net/amplificateur-8-canaux-dsp-hi-res-audison-af-m8-14bit.html</t>
        </is>
      </c>
      <c r="S8" s="173">
        <f>IF(COUNT(G8,J8,M8,P8)=0,"",MIN(G8,J8,M8,P8))</f>
        <v/>
      </c>
      <c r="T8" s="174">
        <f>IF(S8="","",IF(G8=S8,"NL",IF(J8=S8,"DE",IF(M8=S8,"BE","FR"))))</f>
        <v/>
      </c>
      <c r="U8" s="173">
        <f>IF(COUNT(G8,J8,M8,P8)=0,"",AVERAGE(G8,J8,M8,P8))</f>
        <v/>
      </c>
      <c r="V8" s="174">
        <f>COUNT(G8,J8,M8,P8)</f>
        <v/>
      </c>
      <c r="W8" s="173">
        <f>IF(OR(F8="",S8=""),"",F8-S8)</f>
        <v/>
      </c>
      <c r="X8" s="173">
        <f>IF(OR(E8="",W8=""),"",E8*W8)</f>
        <v/>
      </c>
      <c r="Y8" s="170" t="inlineStr">
        <is>
          <t>2026-09-10</t>
        </is>
      </c>
      <c r="Z8" s="170" t="inlineStr">
        <is>
          <t>HIGH</t>
        </is>
      </c>
      <c r="AA8" s="170" t="inlineStr">
        <is>
          <t>SPLIT-BUY CANDIDATE</t>
        </is>
      </c>
      <c r="AB8" s="170" t="inlineStr"/>
      <c r="AC8" s="44" t="inlineStr">
        <is>
          <t>https://audison.com/product/af-m8-14-bit/</t>
        </is>
      </c>
      <c r="AD8" s="170" t="inlineStr">
        <is>
          <t>CURRENT MB QUOTE</t>
        </is>
      </c>
    </row>
    <row r="9" ht="48" customHeight="1">
      <c r="A9" s="170" t="inlineStr">
        <is>
          <t>A</t>
        </is>
      </c>
      <c r="B9" s="170" t="inlineStr">
        <is>
          <t>Audison DRC AC</t>
        </is>
      </c>
      <c r="C9" s="170" t="inlineStr">
        <is>
          <t>Controller</t>
        </is>
      </c>
      <c r="D9" s="171" t="inlineStr">
        <is>
          <t>YES</t>
        </is>
      </c>
      <c r="E9" s="170" t="n">
        <v>1</v>
      </c>
      <c r="F9" s="172" t="n">
        <v>129</v>
      </c>
      <c r="G9" s="52" t="n">
        <v>129</v>
      </c>
      <c r="H9" s="170" t="inlineStr">
        <is>
          <t>MB Car Audio / CarCenterHifi</t>
        </is>
      </c>
      <c r="I9" s="44" t="inlineStr">
        <is>
          <t>https://mbcaraudio.nl/bass-controls/audison-drc-ac.html</t>
        </is>
      </c>
      <c r="J9" s="52" t="n">
        <v>129</v>
      </c>
      <c r="K9" s="170" t="inlineStr">
        <is>
          <t>Caraudio-Store / justSOUND</t>
        </is>
      </c>
      <c r="L9" s="44" t="inlineStr">
        <is>
          <t>https://www.caraudio-store.de/Pegelfernbedienung</t>
        </is>
      </c>
      <c r="M9" s="52" t="n"/>
      <c r="N9" s="170" t="inlineStr">
        <is>
          <t>NO CURRENT INDEXED LOCAL OFFER FOUND</t>
        </is>
      </c>
      <c r="O9" s="170" t="inlineStr"/>
      <c r="P9" s="52" t="n">
        <v>129</v>
      </c>
      <c r="Q9" s="170" t="inlineStr">
        <is>
          <t>Elettromedia EU store</t>
        </is>
      </c>
      <c r="R9" s="44" t="inlineStr">
        <is>
          <t>https://store.elettromedia.com/drc-ac/</t>
        </is>
      </c>
      <c r="S9" s="173">
        <f>IF(COUNT(G9,J9,M9,P9)=0,"",MIN(G9,J9,M9,P9))</f>
        <v/>
      </c>
      <c r="T9" s="174">
        <f>IF(S9="","",IF(G9=S9,"NL",IF(J9=S9,"DE",IF(M9=S9,"BE","FR"))))</f>
        <v/>
      </c>
      <c r="U9" s="173">
        <f>IF(COUNT(G9,J9,M9,P9)=0,"",AVERAGE(G9,J9,M9,P9))</f>
        <v/>
      </c>
      <c r="V9" s="174">
        <f>COUNT(G9,J9,M9,P9)</f>
        <v/>
      </c>
      <c r="W9" s="173">
        <f>IF(OR(F9="",S9=""),"",F9-S9)</f>
        <v/>
      </c>
      <c r="X9" s="173">
        <f>IF(OR(E9="",W9=""),"",E9*W9)</f>
        <v/>
      </c>
      <c r="Y9" s="170" t="inlineStr">
        <is>
          <t>2026-09-10</t>
        </is>
      </c>
      <c r="Z9" s="170" t="inlineStr">
        <is>
          <t>HIGH</t>
        </is>
      </c>
      <c r="AA9" s="170" t="inlineStr">
        <is>
          <t>KEEP MB / CONVENIENCE</t>
        </is>
      </c>
      <c r="AB9" s="170" t="inlineStr"/>
      <c r="AC9" s="44" t="inlineStr">
        <is>
          <t>https://audison.com/fr/product/drc-ac/</t>
        </is>
      </c>
      <c r="AD9" s="170" t="inlineStr">
        <is>
          <t>CURRENT MB QUOTE</t>
        </is>
      </c>
    </row>
    <row r="10" ht="48" customHeight="1">
      <c r="A10" s="170" t="inlineStr">
        <is>
          <t>A</t>
        </is>
      </c>
      <c r="B10" s="170" t="inlineStr">
        <is>
          <t>Focal IC T3Y 100</t>
        </is>
      </c>
      <c r="C10" s="170" t="inlineStr">
        <is>
          <t>Speaker</t>
        </is>
      </c>
      <c r="D10" s="171" t="inlineStr">
        <is>
          <t>YES</t>
        </is>
      </c>
      <c r="E10" s="170" t="n">
        <v>1</v>
      </c>
      <c r="F10" s="172" t="n">
        <v>319</v>
      </c>
      <c r="G10" s="52" t="n">
        <v>319</v>
      </c>
      <c r="H10" s="170" t="inlineStr">
        <is>
          <t>MB Car Audio</t>
        </is>
      </c>
      <c r="I10" s="44" t="inlineStr">
        <is>
          <t>https://mbcaraudio.nl/autospecifieke-pasklare-speakersets/focal-ic-t3y-100.html</t>
        </is>
      </c>
      <c r="J10" s="52" t="n">
        <v>219</v>
      </c>
      <c r="K10" s="170" t="inlineStr">
        <is>
          <t>Idealo</t>
        </is>
      </c>
      <c r="L10" s="44" t="inlineStr">
        <is>
          <t>https://www.idealo.de/preisvergleich/OffersOfProduct/204105665_-ic-t3y-100-focal.html</t>
        </is>
      </c>
      <c r="M10" s="52" t="n"/>
      <c r="N10" s="170" t="inlineStr">
        <is>
          <t>NO CURRENT INDEXED LOCAL OFFER FOUND</t>
        </is>
      </c>
      <c r="O10" s="170" t="inlineStr"/>
      <c r="P10" s="52" t="n">
        <v>229</v>
      </c>
      <c r="Q10" s="170" t="inlineStr">
        <is>
          <t>Sebasto / Multison</t>
        </is>
      </c>
      <c r="R10" s="44" t="inlineStr">
        <is>
          <t>https://www.sebastoautoradio.net/haut-parleurs-2-voies-coaxiaux-specifique-tesla-focal-ic-t3y-100.html</t>
        </is>
      </c>
      <c r="S10" s="173">
        <f>IF(COUNT(G10,J10,M10,P10)=0,"",MIN(G10,J10,M10,P10))</f>
        <v/>
      </c>
      <c r="T10" s="174">
        <f>IF(S10="","",IF(G10=S10,"NL",IF(J10=S10,"DE",IF(M10=S10,"BE","FR"))))</f>
        <v/>
      </c>
      <c r="U10" s="173">
        <f>IF(COUNT(G10,J10,M10,P10)=0,"",AVERAGE(G10,J10,M10,P10))</f>
        <v/>
      </c>
      <c r="V10" s="174">
        <f>COUNT(G10,J10,M10,P10)</f>
        <v/>
      </c>
      <c r="W10" s="173">
        <f>IF(OR(F10="",S10=""),"",F10-S10)</f>
        <v/>
      </c>
      <c r="X10" s="173">
        <f>IF(OR(E10="",W10=""),"",E10*W10)</f>
        <v/>
      </c>
      <c r="Y10" s="170" t="inlineStr">
        <is>
          <t>2026-09-10</t>
        </is>
      </c>
      <c r="Z10" s="170" t="inlineStr">
        <is>
          <t>MEDIUM</t>
        </is>
      </c>
      <c r="AA10" s="170" t="inlineStr">
        <is>
          <t>SPLIT-BUY CANDIDATE</t>
        </is>
      </c>
      <c r="AB10" s="170" t="inlineStr"/>
      <c r="AC10" s="44" t="inlineStr">
        <is>
          <t>https://www.focal.com/products/ic-t3y-100</t>
        </is>
      </c>
      <c r="AD10" s="170" t="inlineStr">
        <is>
          <t>CURRENT MB QUOTE</t>
        </is>
      </c>
    </row>
    <row r="11" ht="48" customHeight="1">
      <c r="A11" s="170" t="inlineStr">
        <is>
          <t>A</t>
        </is>
      </c>
      <c r="B11" s="170" t="inlineStr">
        <is>
          <t>Focal ICC T3Y 100</t>
        </is>
      </c>
      <c r="C11" s="170" t="inlineStr">
        <is>
          <t>Speaker</t>
        </is>
      </c>
      <c r="D11" s="171" t="inlineStr">
        <is>
          <t>YES</t>
        </is>
      </c>
      <c r="E11" s="170" t="n">
        <v>1</v>
      </c>
      <c r="F11" s="172" t="n">
        <v>179</v>
      </c>
      <c r="G11" s="52" t="n">
        <v>179</v>
      </c>
      <c r="H11" s="170" t="inlineStr">
        <is>
          <t>MB Car Audio</t>
        </is>
      </c>
      <c r="I11" s="44" t="inlineStr">
        <is>
          <t>https://mbcaraudio.nl/autospecifieke-pasklare-speakersets/focal-icc-t3y-100.html</t>
        </is>
      </c>
      <c r="J11" s="52" t="n">
        <v>149</v>
      </c>
      <c r="K11" s="170" t="inlineStr">
        <is>
          <t>Idealo</t>
        </is>
      </c>
      <c r="L11" s="44" t="inlineStr">
        <is>
          <t>https://www.idealo.de/preisvergleich/OffersOfProduct/204855027_-inside-icc-t3y-100-focal.html</t>
        </is>
      </c>
      <c r="M11" s="52" t="n"/>
      <c r="N11" s="170" t="inlineStr">
        <is>
          <t>NO CURRENT INDEXED LOCAL OFFER FOUND</t>
        </is>
      </c>
      <c r="O11" s="170" t="inlineStr"/>
      <c r="P11" s="52" t="n">
        <v>129</v>
      </c>
      <c r="Q11" s="170" t="inlineStr">
        <is>
          <t>Sebasto</t>
        </is>
      </c>
      <c r="R11" s="44" t="inlineStr">
        <is>
          <t>https://www.sebastoautoradio.net/voies-centrale-specifique-tesla-focal-icc-t3y-100.html</t>
        </is>
      </c>
      <c r="S11" s="173">
        <f>IF(COUNT(G11,J11,M11,P11)=0,"",MIN(G11,J11,M11,P11))</f>
        <v/>
      </c>
      <c r="T11" s="174">
        <f>IF(S11="","",IF(G11=S11,"NL",IF(J11=S11,"DE",IF(M11=S11,"BE","FR"))))</f>
        <v/>
      </c>
      <c r="U11" s="173">
        <f>IF(COUNT(G11,J11,M11,P11)=0,"",AVERAGE(G11,J11,M11,P11))</f>
        <v/>
      </c>
      <c r="V11" s="174">
        <f>COUNT(G11,J11,M11,P11)</f>
        <v/>
      </c>
      <c r="W11" s="173">
        <f>IF(OR(F11="",S11=""),"",F11-S11)</f>
        <v/>
      </c>
      <c r="X11" s="173">
        <f>IF(OR(E11="",W11=""),"",E11*W11)</f>
        <v/>
      </c>
      <c r="Y11" s="170" t="inlineStr">
        <is>
          <t>2026-09-10</t>
        </is>
      </c>
      <c r="Z11" s="170" t="inlineStr">
        <is>
          <t>HIGH</t>
        </is>
      </c>
      <c r="AA11" s="170" t="inlineStr">
        <is>
          <t>SPLIT-BUY CANDIDATE</t>
        </is>
      </c>
      <c r="AB11" s="170" t="inlineStr"/>
      <c r="AC11" s="44" t="inlineStr">
        <is>
          <t>https://www.focal.com/products/icc-t3y-100</t>
        </is>
      </c>
      <c r="AD11" s="170" t="inlineStr">
        <is>
          <t>CURRENT MB QUOTE</t>
        </is>
      </c>
    </row>
    <row r="12" ht="48" customHeight="1">
      <c r="A12" s="170" t="inlineStr">
        <is>
          <t>A</t>
        </is>
      </c>
      <c r="B12" s="170" t="inlineStr">
        <is>
          <t>Focal IS T3Y 100</t>
        </is>
      </c>
      <c r="C12" s="170" t="inlineStr">
        <is>
          <t>Speaker</t>
        </is>
      </c>
      <c r="D12" s="171" t="inlineStr">
        <is>
          <t>YES</t>
        </is>
      </c>
      <c r="E12" s="170" t="n">
        <v>1</v>
      </c>
      <c r="F12" s="172" t="n">
        <v>369</v>
      </c>
      <c r="G12" s="52" t="n">
        <v>369</v>
      </c>
      <c r="H12" s="170" t="inlineStr">
        <is>
          <t>MB Car Audio</t>
        </is>
      </c>
      <c r="I12" s="44" t="inlineStr">
        <is>
          <t>https://mbcaraudio.nl/autospecifieke-pasklare-speakersets/focal-is-t3y-100.html</t>
        </is>
      </c>
      <c r="J12" s="52" t="n">
        <v>289</v>
      </c>
      <c r="K12" s="170" t="inlineStr">
        <is>
          <t>Idealo current T3Y comparison</t>
        </is>
      </c>
      <c r="L12" s="44" t="inlineStr">
        <is>
          <t>https://www.idealo.de/preisvergleich/Liste/123511081/focal-t3y.html</t>
        </is>
      </c>
      <c r="M12" s="52" t="n"/>
      <c r="N12" s="170" t="inlineStr">
        <is>
          <t>NO CURRENT INDEXED LOCAL OFFER FOUND</t>
        </is>
      </c>
      <c r="O12" s="170" t="inlineStr"/>
      <c r="P12" s="52" t="n">
        <v>299</v>
      </c>
      <c r="Q12" s="170" t="inlineStr">
        <is>
          <t>Sebasto / Multison</t>
        </is>
      </c>
      <c r="R12" s="44" t="inlineStr">
        <is>
          <t>https://www.sebastoautoradio.net/kit-2-voies-specifique-tesla-focal-is-t3y-100.html</t>
        </is>
      </c>
      <c r="S12" s="173">
        <f>IF(COUNT(G12,J12,M12,P12)=0,"",MIN(G12,J12,M12,P12))</f>
        <v/>
      </c>
      <c r="T12" s="174">
        <f>IF(S12="","",IF(G12=S12,"NL",IF(J12=S12,"DE",IF(M12=S12,"BE","FR"))))</f>
        <v/>
      </c>
      <c r="U12" s="173">
        <f>IF(COUNT(G12,J12,M12,P12)=0,"",AVERAGE(G12,J12,M12,P12))</f>
        <v/>
      </c>
      <c r="V12" s="174">
        <f>COUNT(G12,J12,M12,P12)</f>
        <v/>
      </c>
      <c r="W12" s="173">
        <f>IF(OR(F12="",S12=""),"",F12-S12)</f>
        <v/>
      </c>
      <c r="X12" s="173">
        <f>IF(OR(E12="",W12=""),"",E12*W12)</f>
        <v/>
      </c>
      <c r="Y12" s="170" t="inlineStr">
        <is>
          <t>2026-09-10</t>
        </is>
      </c>
      <c r="Z12" s="170" t="inlineStr">
        <is>
          <t>HIGH</t>
        </is>
      </c>
      <c r="AA12" s="170" t="inlineStr">
        <is>
          <t>SPLIT-BUY CANDIDATE</t>
        </is>
      </c>
      <c r="AB12" s="170" t="inlineStr"/>
      <c r="AC12" s="44" t="inlineStr">
        <is>
          <t>https://www.focal.com/products/is-t3y-100</t>
        </is>
      </c>
      <c r="AD12" s="170" t="inlineStr">
        <is>
          <t>CURRENT MB QUOTE</t>
        </is>
      </c>
    </row>
    <row r="13" ht="48" customHeight="1">
      <c r="A13" s="170" t="inlineStr">
        <is>
          <t>A</t>
        </is>
      </c>
      <c r="B13" s="170" t="inlineStr">
        <is>
          <t>Focal IW T3Y 200</t>
        </is>
      </c>
      <c r="C13" s="170" t="inlineStr">
        <is>
          <t>Speaker</t>
        </is>
      </c>
      <c r="D13" s="171" t="inlineStr">
        <is>
          <t>YES</t>
        </is>
      </c>
      <c r="E13" s="170" t="n">
        <v>1</v>
      </c>
      <c r="F13" s="172" t="n">
        <v>459</v>
      </c>
      <c r="G13" s="52" t="n">
        <v>459</v>
      </c>
      <c r="H13" s="170" t="inlineStr">
        <is>
          <t>MB Car Audio</t>
        </is>
      </c>
      <c r="I13" s="44" t="inlineStr">
        <is>
          <t>https://mbcaraudio.nl/autospecifieke-pasklare-speakersets/focal-iw-t3y-200.html</t>
        </is>
      </c>
      <c r="J13" s="52" t="n">
        <v>314.1</v>
      </c>
      <c r="K13" s="170" t="inlineStr">
        <is>
          <t>eBay marketplace / ACR-Hof via Idealo</t>
        </is>
      </c>
      <c r="L13" s="44" t="inlineStr">
        <is>
          <t>https://www.idealo.de/preisvergleich/OffersOfProduct/204855028_-iw-t3y-200-focal.html</t>
        </is>
      </c>
      <c r="M13" s="52" t="n"/>
      <c r="N13" s="170" t="inlineStr">
        <is>
          <t>NO CURRENT INDEXED LOCAL OFFER FOUND</t>
        </is>
      </c>
      <c r="O13" s="170" t="inlineStr"/>
      <c r="P13" s="52" t="n">
        <v>369</v>
      </c>
      <c r="Q13" s="170" t="inlineStr">
        <is>
          <t>Sebasto / Multison</t>
        </is>
      </c>
      <c r="R13" s="44" t="inlineStr">
        <is>
          <t>https://www.sebastoautoradio.net/woofer-20-cm-specifique-tesla-focal-iw-t3y-200.html</t>
        </is>
      </c>
      <c r="S13" s="173">
        <f>IF(COUNT(G13,J13,M13,P13)=0,"",MIN(G13,J13,M13,P13))</f>
        <v/>
      </c>
      <c r="T13" s="174">
        <f>IF(S13="","",IF(G13=S13,"NL",IF(J13=S13,"DE",IF(M13=S13,"BE","FR"))))</f>
        <v/>
      </c>
      <c r="U13" s="173">
        <f>IF(COUNT(G13,J13,M13,P13)=0,"",AVERAGE(G13,J13,M13,P13))</f>
        <v/>
      </c>
      <c r="V13" s="174">
        <f>COUNT(G13,J13,M13,P13)</f>
        <v/>
      </c>
      <c r="W13" s="173">
        <f>IF(OR(F13="",S13=""),"",F13-S13)</f>
        <v/>
      </c>
      <c r="X13" s="173">
        <f>IF(OR(E13="",W13=""),"",E13*W13)</f>
        <v/>
      </c>
      <c r="Y13" s="170" t="inlineStr">
        <is>
          <t>2026-09-10</t>
        </is>
      </c>
      <c r="Z13" s="170" t="inlineStr">
        <is>
          <t>MEDIUM</t>
        </is>
      </c>
      <c r="AA13" s="170" t="inlineStr">
        <is>
          <t>SPLIT-BUY CANDIDATE</t>
        </is>
      </c>
      <c r="AB13" s="170" t="inlineStr"/>
      <c r="AC13" s="44" t="inlineStr">
        <is>
          <t>https://www.focal.com/products/iw-t3y-200</t>
        </is>
      </c>
      <c r="AD13" s="170" t="inlineStr">
        <is>
          <t>CURRENT MB QUOTE</t>
        </is>
      </c>
    </row>
    <row r="14" ht="48" customHeight="1">
      <c r="A14" s="170" t="inlineStr">
        <is>
          <t>A</t>
        </is>
      </c>
      <c r="B14" s="170" t="inlineStr">
        <is>
          <t>HELIX Compose Ci3 K200.2TES4 Highland</t>
        </is>
      </c>
      <c r="C14" s="170" t="inlineStr">
        <is>
          <t>Speaker kit</t>
        </is>
      </c>
      <c r="D14" s="170" t="inlineStr">
        <is>
          <t>NO</t>
        </is>
      </c>
      <c r="E14" s="170" t="n"/>
      <c r="F14" s="172" t="n"/>
      <c r="G14" s="52" t="n"/>
      <c r="H14" s="170" t="inlineStr">
        <is>
          <t>NO CURRENT INDEXED LOCAL OFFER FOUND</t>
        </is>
      </c>
      <c r="I14" s="170" t="inlineStr"/>
      <c r="J14" s="52" t="n">
        <v>729</v>
      </c>
      <c r="K14" s="170" t="inlineStr">
        <is>
          <t>CarHifi-Store Bünde</t>
        </is>
      </c>
      <c r="L14" s="44" t="inlineStr">
        <is>
          <t>https://www.carhifi-store-buende.de/compose-ci3-k200.2tes4-tesla-model-3-highland</t>
        </is>
      </c>
      <c r="M14" s="52" t="n"/>
      <c r="N14" s="170" t="inlineStr">
        <is>
          <t>NO CURRENT INDEXED LOCAL OFFER FOUND</t>
        </is>
      </c>
      <c r="O14" s="170" t="inlineStr"/>
      <c r="P14" s="52" t="n"/>
      <c r="Q14" s="170" t="inlineStr">
        <is>
          <t>NO CURRENT INDEXED LOCAL OFFER FOUND</t>
        </is>
      </c>
      <c r="R14" s="170" t="inlineStr"/>
      <c r="S14" s="173">
        <f>IF(COUNT(G14,J14,M14,P14)=0,"",MIN(G14,J14,M14,P14))</f>
        <v/>
      </c>
      <c r="T14" s="174">
        <f>IF(S14="","",IF(G14=S14,"NL",IF(J14=S14,"DE",IF(M14=S14,"BE","FR"))))</f>
        <v/>
      </c>
      <c r="U14" s="173">
        <f>IF(COUNT(G14,J14,M14,P14)=0,"",AVERAGE(G14,J14,M14,P14))</f>
        <v/>
      </c>
      <c r="V14" s="174">
        <f>COUNT(G14,J14,M14,P14)</f>
        <v/>
      </c>
      <c r="W14" s="173">
        <f>IF(OR(F14="",S14=""),"",F14-S14)</f>
        <v/>
      </c>
      <c r="X14" s="173">
        <f>IF(OR(E14="",W14=""),"",E14*W14)</f>
        <v/>
      </c>
      <c r="Y14" s="170" t="inlineStr">
        <is>
          <t>2026-09-10</t>
        </is>
      </c>
      <c r="Z14" s="170" t="inlineStr">
        <is>
          <t>HIGH</t>
        </is>
      </c>
      <c r="AA14" s="170" t="inlineStr">
        <is>
          <t>COMPARE / VERIFY CHECKOUT</t>
        </is>
      </c>
      <c r="AB14" s="170" t="inlineStr"/>
      <c r="AC14" s="44" t="inlineStr">
        <is>
          <t>https://www.audiotec-fischer.de/en/helix/</t>
        </is>
      </c>
      <c r="AD14" s="170" t="inlineStr">
        <is>
          <t>CURRENT COMPARISON</t>
        </is>
      </c>
    </row>
    <row r="15" ht="48" customHeight="1">
      <c r="A15" s="170" t="inlineStr">
        <is>
          <t>A</t>
        </is>
      </c>
      <c r="B15" s="170" t="inlineStr">
        <is>
          <t>HELIX V EIGHTEEN DSP</t>
        </is>
      </c>
      <c r="C15" s="170" t="inlineStr">
        <is>
          <t>DSP amplifier</t>
        </is>
      </c>
      <c r="D15" s="170" t="inlineStr">
        <is>
          <t>NO</t>
        </is>
      </c>
      <c r="E15" s="170" t="n"/>
      <c r="F15" s="172" t="n"/>
      <c r="G15" s="52" t="n">
        <v>1799</v>
      </c>
      <c r="H15" s="170" t="inlineStr">
        <is>
          <t>ACR / Schut</t>
        </is>
      </c>
      <c r="I15" s="44" t="inlineStr">
        <is>
          <t>https://www.acr-helmond.nl/</t>
        </is>
      </c>
      <c r="J15" s="52" t="n">
        <v>1799</v>
      </c>
      <c r="K15" s="170" t="inlineStr">
        <is>
          <t>CarHifi-Store Bünde</t>
        </is>
      </c>
      <c r="L15" s="44" t="inlineStr">
        <is>
          <t>https://www.carhifi-store-buende.de/endstufen/</t>
        </is>
      </c>
      <c r="M15" s="52" t="n">
        <v>1799</v>
      </c>
      <c r="N15" s="170" t="inlineStr">
        <is>
          <t>HifiMotive dealer network</t>
        </is>
      </c>
      <c r="O15" s="44" t="inlineStr">
        <is>
          <t>https://www.caraudio.nl/artikel/helix/helix-v-eighteen-dsp-18-kanaals-versterker-met-20-kanaals-dsp-heveighteen</t>
        </is>
      </c>
      <c r="P15" s="52" t="n">
        <v>1799</v>
      </c>
      <c r="Q15" s="170" t="inlineStr">
        <is>
          <t>FR-deliverable ARS24 / Type-RSound reference</t>
        </is>
      </c>
      <c r="R15" s="44" t="inlineStr">
        <is>
          <t>https://www.ars24.com/en/helix-verstaerker-made-in-germany</t>
        </is>
      </c>
      <c r="S15" s="173">
        <f>IF(COUNT(G15,J15,M15,P15)=0,"",MIN(G15,J15,M15,P15))</f>
        <v/>
      </c>
      <c r="T15" s="174">
        <f>IF(S15="","",IF(G15=S15,"NL",IF(J15=S15,"DE",IF(M15=S15,"BE","FR"))))</f>
        <v/>
      </c>
      <c r="U15" s="173">
        <f>IF(COUNT(G15,J15,M15,P15)=0,"",AVERAGE(G15,J15,M15,P15))</f>
        <v/>
      </c>
      <c r="V15" s="174">
        <f>COUNT(G15,J15,M15,P15)</f>
        <v/>
      </c>
      <c r="W15" s="173">
        <f>IF(OR(F15="",S15=""),"",F15-S15)</f>
        <v/>
      </c>
      <c r="X15" s="173">
        <f>IF(OR(E15="",W15=""),"",E15*W15)</f>
        <v/>
      </c>
      <c r="Y15" s="170" t="inlineStr">
        <is>
          <t>2026-09-10</t>
        </is>
      </c>
      <c r="Z15" s="170" t="inlineStr">
        <is>
          <t>MEDIUM</t>
        </is>
      </c>
      <c r="AA15" s="170" t="inlineStr">
        <is>
          <t>COMPARE / VERIFY CHECKOUT</t>
        </is>
      </c>
      <c r="AB15" s="170" t="inlineStr">
        <is>
          <t>Full-active HELIX comparison route.</t>
        </is>
      </c>
      <c r="AC15" s="44" t="inlineStr">
        <is>
          <t>https://www.audiotec-fischer.de/en/helix/</t>
        </is>
      </c>
      <c r="AD15" s="170" t="inlineStr">
        <is>
          <t>CURRENT COMPARISON</t>
        </is>
      </c>
    </row>
    <row r="16" ht="48" customHeight="1">
      <c r="A16" s="170" t="inlineStr">
        <is>
          <t>A</t>
        </is>
      </c>
      <c r="B16" s="170" t="inlineStr">
        <is>
          <t>MATCH PP-TES 1.7B Highland</t>
        </is>
      </c>
      <c r="C16" s="170" t="inlineStr">
        <is>
          <t>Tesla harness</t>
        </is>
      </c>
      <c r="D16" s="171" t="inlineStr">
        <is>
          <t>YES</t>
        </is>
      </c>
      <c r="E16" s="170" t="n">
        <v>1</v>
      </c>
      <c r="F16" s="172" t="n">
        <v>139.95</v>
      </c>
      <c r="G16" s="52" t="n">
        <v>129</v>
      </c>
      <c r="H16" s="170" t="inlineStr">
        <is>
          <t>HifiMotive</t>
        </is>
      </c>
      <c r="I16" s="44" t="inlineStr">
        <is>
          <t>https://www.caraudio.nl/artikel/match/match-pp-tes-1-7b-highland-kabelset-voor-tesla-model-3-highland-y-juniper-met-base-audio-mapptes17bhl</t>
        </is>
      </c>
      <c r="J16" s="52" t="n">
        <v>129</v>
      </c>
      <c r="K16" s="170" t="inlineStr">
        <is>
          <t>Caraudio-Store / Bünde</t>
        </is>
      </c>
      <c r="L16" s="44" t="inlineStr">
        <is>
          <t>https://www.caraudio-store.de/Match-PP-TES-17B-Highland</t>
        </is>
      </c>
      <c r="M16" s="52" t="n"/>
      <c r="N16" s="170" t="inlineStr">
        <is>
          <t>NO CURRENT INDEXED LOCAL OFFER FOUND</t>
        </is>
      </c>
      <c r="O16" s="170" t="inlineStr"/>
      <c r="P16" s="52" t="n"/>
      <c r="Q16" s="170" t="inlineStr">
        <is>
          <t>NO CURRENT INDEXED LOCAL OFFER FOUND</t>
        </is>
      </c>
      <c r="R16" s="170" t="inlineStr"/>
      <c r="S16" s="173">
        <f>IF(COUNT(G16,J16,M16,P16)=0,"",MIN(G16,J16,M16,P16))</f>
        <v/>
      </c>
      <c r="T16" s="174">
        <f>IF(S16="","",IF(G16=S16,"NL",IF(J16=S16,"DE",IF(M16=S16,"BE","FR"))))</f>
        <v/>
      </c>
      <c r="U16" s="173">
        <f>IF(COUNT(G16,J16,M16,P16)=0,"",AVERAGE(G16,J16,M16,P16))</f>
        <v/>
      </c>
      <c r="V16" s="174">
        <f>COUNT(G16,J16,M16,P16)</f>
        <v/>
      </c>
      <c r="W16" s="173">
        <f>IF(OR(F16="",S16=""),"",F16-S16)</f>
        <v/>
      </c>
      <c r="X16" s="173">
        <f>IF(OR(E16="",W16=""),"",E16*W16)</f>
        <v/>
      </c>
      <c r="Y16" s="170" t="inlineStr">
        <is>
          <t>2026-09-10</t>
        </is>
      </c>
      <c r="Z16" s="170" t="inlineStr">
        <is>
          <t>HIGH</t>
        </is>
      </c>
      <c r="AA16" s="170" t="inlineStr">
        <is>
          <t>SPLIT-BUY CANDIDATE</t>
        </is>
      </c>
      <c r="AB16" s="170" t="inlineStr">
        <is>
          <t>Official PnP target is MATCH UP10DSP; Audison use requires custom integration.</t>
        </is>
      </c>
      <c r="AC16" s="44" t="inlineStr">
        <is>
          <t>https://www.audiotec-fischer.de/en/match/adaptors-harnesses/pp-tes-1-7b-highland</t>
        </is>
      </c>
      <c r="AD16" s="170" t="inlineStr">
        <is>
          <t>CURRENT MB QUOTE</t>
        </is>
      </c>
    </row>
    <row r="17" ht="48" customHeight="1">
      <c r="A17" s="170" t="inlineStr">
        <is>
          <t>A</t>
        </is>
      </c>
      <c r="B17" s="170" t="inlineStr">
        <is>
          <t>Pioneer TS-WX1220AH</t>
        </is>
      </c>
      <c r="C17" s="170" t="inlineStr">
        <is>
          <t>Existing donor sub system</t>
        </is>
      </c>
      <c r="D17" s="170" t="inlineStr">
        <is>
          <t>NO</t>
        </is>
      </c>
      <c r="E17" s="170" t="n"/>
      <c r="F17" s="172" t="n"/>
      <c r="G17" s="52" t="n"/>
      <c r="H17" s="170" t="inlineStr">
        <is>
          <t>NO CURRENT INDEXED LOCAL OFFER FOUND</t>
        </is>
      </c>
      <c r="I17" s="170" t="inlineStr"/>
      <c r="J17" s="52" t="n"/>
      <c r="K17" s="170" t="inlineStr">
        <is>
          <t>NO CURRENT INDEXED LOCAL OFFER FOUND</t>
        </is>
      </c>
      <c r="L17" s="170" t="inlineStr"/>
      <c r="M17" s="52" t="n"/>
      <c r="N17" s="170" t="inlineStr">
        <is>
          <t>NO CURRENT INDEXED LOCAL OFFER FOUND</t>
        </is>
      </c>
      <c r="O17" s="170" t="inlineStr"/>
      <c r="P17" s="52" t="n"/>
      <c r="Q17" s="170" t="inlineStr">
        <is>
          <t>NO CURRENT INDEXED LOCAL OFFER FOUND</t>
        </is>
      </c>
      <c r="R17" s="170" t="inlineStr"/>
      <c r="S17" s="173">
        <f>IF(COUNT(G17,J17,M17,P17)=0,"",MIN(G17,J17,M17,P17))</f>
        <v/>
      </c>
      <c r="T17" s="174">
        <f>IF(S17="","",IF(G17=S17,"NL",IF(J17=S17,"DE",IF(M17=S17,"BE","FR"))))</f>
        <v/>
      </c>
      <c r="U17" s="173">
        <f>IF(COUNT(G17,J17,M17,P17)=0,"",AVERAGE(G17,J17,M17,P17))</f>
        <v/>
      </c>
      <c r="V17" s="174">
        <f>COUNT(G17,J17,M17,P17)</f>
        <v/>
      </c>
      <c r="W17" s="173">
        <f>IF(OR(F17="",S17=""),"",F17-S17)</f>
        <v/>
      </c>
      <c r="X17" s="173">
        <f>IF(OR(E17="",W17=""),"",E17*W17)</f>
        <v/>
      </c>
      <c r="Y17" s="170" t="inlineStr">
        <is>
          <t>2026-09-10</t>
        </is>
      </c>
      <c r="Z17" s="175" t="inlineStr">
        <is>
          <t>NO PRICE</t>
        </is>
      </c>
      <c r="AA17" s="170" t="inlineStr">
        <is>
          <t>COMPARE / VERIFY CHECKOUT</t>
        </is>
      </c>
      <c r="AB17" s="170" t="inlineStr">
        <is>
          <t>Owned donor hardware: online price is reference only, not purchase requirement.</t>
        </is>
      </c>
      <c r="AC17" s="44" t="inlineStr">
        <is>
          <t>https://pioneer-car.eu/nl/nl/ts-wx1220ah/ts-wx1220ah</t>
        </is>
      </c>
      <c r="AD17" s="170" t="inlineStr">
        <is>
          <t>CURRENT COMPARISON</t>
        </is>
      </c>
    </row>
    <row r="18" ht="48" customHeight="1">
      <c r="A18" s="170" t="inlineStr">
        <is>
          <t>B</t>
        </is>
      </c>
      <c r="B18" s="170" t="inlineStr">
        <is>
          <t>Audison AF M12.14 bit</t>
        </is>
      </c>
      <c r="C18" s="170" t="inlineStr">
        <is>
          <t>DSP amplifier</t>
        </is>
      </c>
      <c r="D18" s="170" t="inlineStr">
        <is>
          <t>NO</t>
        </is>
      </c>
      <c r="E18" s="170" t="n"/>
      <c r="F18" s="172" t="n"/>
      <c r="G18" s="52" t="n">
        <v>1289</v>
      </c>
      <c r="H18" s="170" t="inlineStr">
        <is>
          <t>AutoSound24</t>
        </is>
      </c>
      <c r="I18" s="44" t="inlineStr">
        <is>
          <t>https://www.autosound24.nl/producten/AUD-DSPAMP-AF-M12-14BIT</t>
        </is>
      </c>
      <c r="J18" s="52" t="n">
        <v>1205.9</v>
      </c>
      <c r="K18" s="170" t="inlineStr">
        <is>
          <t>Idealo / justSOUND</t>
        </is>
      </c>
      <c r="L18" s="44" t="inlineStr">
        <is>
          <t>https://www.idealo.de/preisvergleich/OffersOfProduct/203736270_-af-m12-14-bit-audison.html</t>
        </is>
      </c>
      <c r="M18" s="52" t="n"/>
      <c r="N18" s="170" t="inlineStr">
        <is>
          <t>NO CURRENT INDEXED LOCAL OFFER FOUND</t>
        </is>
      </c>
      <c r="O18" s="170" t="inlineStr"/>
      <c r="P18" s="52" t="n">
        <v>1290</v>
      </c>
      <c r="Q18" s="170" t="inlineStr">
        <is>
          <t>Elettromedia</t>
        </is>
      </c>
      <c r="R18" s="44" t="inlineStr">
        <is>
          <t>https://store.elettromedia.com/af-m12-14-bit/</t>
        </is>
      </c>
      <c r="S18" s="173">
        <f>IF(COUNT(G18,J18,M18,P18)=0,"",MIN(G18,J18,M18,P18))</f>
        <v/>
      </c>
      <c r="T18" s="174">
        <f>IF(S18="","",IF(G18=S18,"NL",IF(J18=S18,"DE",IF(M18=S18,"BE","FR"))))</f>
        <v/>
      </c>
      <c r="U18" s="173">
        <f>IF(COUNT(G18,J18,M18,P18)=0,"",AVERAGE(G18,J18,M18,P18))</f>
        <v/>
      </c>
      <c r="V18" s="174">
        <f>COUNT(G18,J18,M18,P18)</f>
        <v/>
      </c>
      <c r="W18" s="173">
        <f>IF(OR(F18="",S18=""),"",F18-S18)</f>
        <v/>
      </c>
      <c r="X18" s="173">
        <f>IF(OR(E18="",W18=""),"",E18*W18)</f>
        <v/>
      </c>
      <c r="Y18" s="170" t="inlineStr">
        <is>
          <t>2026-09-10</t>
        </is>
      </c>
      <c r="Z18" s="170" t="inlineStr">
        <is>
          <t>MEDIUM</t>
        </is>
      </c>
      <c r="AA18" s="170" t="inlineStr">
        <is>
          <t>COMPARE / VERIFY CHECKOUT</t>
        </is>
      </c>
      <c r="AB18" s="170" t="inlineStr">
        <is>
          <t>Historical/alternative route retained.</t>
        </is>
      </c>
      <c r="AC18" s="44" t="inlineStr">
        <is>
          <t>https://audison.com/</t>
        </is>
      </c>
      <c r="AD18" s="170" t="inlineStr">
        <is>
          <t>CURRENT COMPARISON</t>
        </is>
      </c>
    </row>
    <row r="19" ht="48" customHeight="1">
      <c r="A19" s="170" t="inlineStr">
        <is>
          <t>B</t>
        </is>
      </c>
      <c r="B19" s="170" t="inlineStr">
        <is>
          <t>Audison DRC MP CAN</t>
        </is>
      </c>
      <c r="C19" s="170" t="inlineStr">
        <is>
          <t>Controller</t>
        </is>
      </c>
      <c r="D19" s="170" t="inlineStr">
        <is>
          <t>NO</t>
        </is>
      </c>
      <c r="E19" s="170" t="n"/>
      <c r="F19" s="172" t="n"/>
      <c r="G19" s="52" t="n">
        <v>179</v>
      </c>
      <c r="H19" s="170" t="inlineStr">
        <is>
          <t>MB Car Audio / ACR</t>
        </is>
      </c>
      <c r="I19" s="44" t="inlineStr">
        <is>
          <t>https://mbcaraudio.nl/bass-controls/audison-drc-mp-can.html</t>
        </is>
      </c>
      <c r="J19" s="52" t="n"/>
      <c r="K19" s="170" t="inlineStr">
        <is>
          <t>NO CURRENT INDEXED LOCAL OFFER FOUND</t>
        </is>
      </c>
      <c r="L19" s="170" t="inlineStr"/>
      <c r="M19" s="52" t="n"/>
      <c r="N19" s="170" t="inlineStr">
        <is>
          <t>NO CURRENT INDEXED LOCAL OFFER FOUND</t>
        </is>
      </c>
      <c r="O19" s="170" t="inlineStr"/>
      <c r="P19" s="52" t="n"/>
      <c r="Q19" s="170" t="inlineStr">
        <is>
          <t>NO CURRENT INDEXED LOCAL OFFER FOUND</t>
        </is>
      </c>
      <c r="R19" s="170" t="inlineStr"/>
      <c r="S19" s="173">
        <f>IF(COUNT(G19,J19,M19,P19)=0,"",MIN(G19,J19,M19,P19))</f>
        <v/>
      </c>
      <c r="T19" s="174">
        <f>IF(S19="","",IF(G19=S19,"NL",IF(J19=S19,"DE",IF(M19=S19,"BE","FR"))))</f>
        <v/>
      </c>
      <c r="U19" s="173">
        <f>IF(COUNT(G19,J19,M19,P19)=0,"",AVERAGE(G19,J19,M19,P19))</f>
        <v/>
      </c>
      <c r="V19" s="174">
        <f>COUNT(G19,J19,M19,P19)</f>
        <v/>
      </c>
      <c r="W19" s="173">
        <f>IF(OR(F19="",S19=""),"",F19-S19)</f>
        <v/>
      </c>
      <c r="X19" s="173">
        <f>IF(OR(E19="",W19=""),"",E19*W19)</f>
        <v/>
      </c>
      <c r="Y19" s="170" t="inlineStr">
        <is>
          <t>2026-09-10</t>
        </is>
      </c>
      <c r="Z19" s="170" t="inlineStr">
        <is>
          <t>HIGH</t>
        </is>
      </c>
      <c r="AA19" s="170" t="inlineStr">
        <is>
          <t>COMPARE / VERIFY CHECKOUT</t>
        </is>
      </c>
      <c r="AB19" s="170" t="inlineStr"/>
      <c r="AC19" s="44" t="inlineStr">
        <is>
          <t>https://audison.com/</t>
        </is>
      </c>
      <c r="AD19" s="170" t="inlineStr">
        <is>
          <t>CURRENT COMPARISON</t>
        </is>
      </c>
    </row>
    <row r="20" ht="48" customHeight="1">
      <c r="A20" s="170" t="inlineStr">
        <is>
          <t>B</t>
        </is>
      </c>
      <c r="B20" s="170" t="inlineStr">
        <is>
          <t>HELIX AMPLIFY 204 DIRECT</t>
        </is>
      </c>
      <c r="C20" s="170" t="inlineStr">
        <is>
          <t>Amplifier</t>
        </is>
      </c>
      <c r="D20" s="170" t="inlineStr">
        <is>
          <t>NO</t>
        </is>
      </c>
      <c r="E20" s="170" t="n"/>
      <c r="F20" s="172" t="n"/>
      <c r="G20" s="52" t="n">
        <v>239</v>
      </c>
      <c r="H20" s="170" t="inlineStr">
        <is>
          <t>HifiMotive</t>
        </is>
      </c>
      <c r="I20" s="44" t="inlineStr">
        <is>
          <t>https://www.caraudio.nl/assortiment/helix</t>
        </is>
      </c>
      <c r="J20" s="52" t="n">
        <v>239</v>
      </c>
      <c r="K20" s="170" t="inlineStr">
        <is>
          <t>DE marketplace / comparison</t>
        </is>
      </c>
      <c r="L20" s="44" t="inlineStr">
        <is>
          <t>https://www.idealo.de/</t>
        </is>
      </c>
      <c r="M20" s="52" t="n"/>
      <c r="N20" s="170" t="inlineStr">
        <is>
          <t>NO CURRENT INDEXED LOCAL OFFER FOUND</t>
        </is>
      </c>
      <c r="O20" s="170" t="inlineStr"/>
      <c r="P20" s="52" t="n"/>
      <c r="Q20" s="170" t="inlineStr">
        <is>
          <t>NO CURRENT INDEXED LOCAL OFFER FOUND</t>
        </is>
      </c>
      <c r="R20" s="170" t="inlineStr"/>
      <c r="S20" s="173">
        <f>IF(COUNT(G20,J20,M20,P20)=0,"",MIN(G20,J20,M20,P20))</f>
        <v/>
      </c>
      <c r="T20" s="174">
        <f>IF(S20="","",IF(G20=S20,"NL",IF(J20=S20,"DE",IF(M20=S20,"BE","FR"))))</f>
        <v/>
      </c>
      <c r="U20" s="173">
        <f>IF(COUNT(G20,J20,M20,P20)=0,"",AVERAGE(G20,J20,M20,P20))</f>
        <v/>
      </c>
      <c r="V20" s="174">
        <f>COUNT(G20,J20,M20,P20)</f>
        <v/>
      </c>
      <c r="W20" s="173">
        <f>IF(OR(F20="",S20=""),"",F20-S20)</f>
        <v/>
      </c>
      <c r="X20" s="173">
        <f>IF(OR(E20="",W20=""),"",E20*W20)</f>
        <v/>
      </c>
      <c r="Y20" s="170" t="inlineStr">
        <is>
          <t>2026-09-10</t>
        </is>
      </c>
      <c r="Z20" s="170" t="inlineStr">
        <is>
          <t>MEDIUM</t>
        </is>
      </c>
      <c r="AA20" s="170" t="inlineStr">
        <is>
          <t>COMPARE / VERIFY CHECKOUT</t>
        </is>
      </c>
      <c r="AB20" s="170" t="inlineStr"/>
      <c r="AC20" s="44" t="inlineStr">
        <is>
          <t>https://www.audiotec-fischer.de/en/helix/</t>
        </is>
      </c>
      <c r="AD20" s="170" t="inlineStr">
        <is>
          <t>CURRENT COMPARISON</t>
        </is>
      </c>
    </row>
    <row r="21" ht="48" customHeight="1">
      <c r="A21" s="170" t="inlineStr">
        <is>
          <t>B</t>
        </is>
      </c>
      <c r="B21" s="170" t="inlineStr">
        <is>
          <t>HELIX AMPLIFY 206 DIRECT</t>
        </is>
      </c>
      <c r="C21" s="170" t="inlineStr">
        <is>
          <t>Amplifier</t>
        </is>
      </c>
      <c r="D21" s="170" t="inlineStr">
        <is>
          <t>NO</t>
        </is>
      </c>
      <c r="E21" s="170" t="n"/>
      <c r="F21" s="172" t="n"/>
      <c r="G21" s="52" t="n">
        <v>358.99</v>
      </c>
      <c r="H21" s="170" t="inlineStr">
        <is>
          <t>HifiMotive</t>
        </is>
      </c>
      <c r="I21" s="44" t="inlineStr">
        <is>
          <t>https://www.caraudio.nl/assortiment/helix</t>
        </is>
      </c>
      <c r="J21" s="52" t="n">
        <v>359</v>
      </c>
      <c r="K21" s="170" t="inlineStr">
        <is>
          <t>ARS24</t>
        </is>
      </c>
      <c r="L21" s="44" t="inlineStr">
        <is>
          <t>https://www.ars24.com/en/6-kanal-verstaerker/auto-endstufen</t>
        </is>
      </c>
      <c r="M21" s="52" t="n"/>
      <c r="N21" s="170" t="inlineStr">
        <is>
          <t>NO CURRENT INDEXED LOCAL OFFER FOUND</t>
        </is>
      </c>
      <c r="O21" s="170" t="inlineStr"/>
      <c r="P21" s="52" t="n"/>
      <c r="Q21" s="170" t="inlineStr">
        <is>
          <t>NO CURRENT INDEXED LOCAL OFFER FOUND</t>
        </is>
      </c>
      <c r="R21" s="170" t="inlineStr"/>
      <c r="S21" s="173">
        <f>IF(COUNT(G21,J21,M21,P21)=0,"",MIN(G21,J21,M21,P21))</f>
        <v/>
      </c>
      <c r="T21" s="174">
        <f>IF(S21="","",IF(G21=S21,"NL",IF(J21=S21,"DE",IF(M21=S21,"BE","FR"))))</f>
        <v/>
      </c>
      <c r="U21" s="173">
        <f>IF(COUNT(G21,J21,M21,P21)=0,"",AVERAGE(G21,J21,M21,P21))</f>
        <v/>
      </c>
      <c r="V21" s="174">
        <f>COUNT(G21,J21,M21,P21)</f>
        <v/>
      </c>
      <c r="W21" s="173">
        <f>IF(OR(F21="",S21=""),"",F21-S21)</f>
        <v/>
      </c>
      <c r="X21" s="173">
        <f>IF(OR(E21="",W21=""),"",E21*W21)</f>
        <v/>
      </c>
      <c r="Y21" s="170" t="inlineStr">
        <is>
          <t>2026-09-10</t>
        </is>
      </c>
      <c r="Z21" s="170" t="inlineStr">
        <is>
          <t>HIGH</t>
        </is>
      </c>
      <c r="AA21" s="170" t="inlineStr">
        <is>
          <t>COMPARE / VERIFY CHECKOUT</t>
        </is>
      </c>
      <c r="AB21" s="170" t="inlineStr"/>
      <c r="AC21" s="44" t="inlineStr">
        <is>
          <t>https://www.audiotec-fischer.de/en/helix/</t>
        </is>
      </c>
      <c r="AD21" s="170" t="inlineStr">
        <is>
          <t>CURRENT COMPARISON</t>
        </is>
      </c>
    </row>
    <row r="22" ht="48" customHeight="1">
      <c r="A22" s="170" t="inlineStr">
        <is>
          <t>B</t>
        </is>
      </c>
      <c r="B22" s="170" t="inlineStr">
        <is>
          <t>HELIX AMPLIFY 206 DSP</t>
        </is>
      </c>
      <c r="C22" s="170" t="inlineStr">
        <is>
          <t>DSP amplifier</t>
        </is>
      </c>
      <c r="D22" s="170" t="inlineStr">
        <is>
          <t>NO</t>
        </is>
      </c>
      <c r="E22" s="170" t="n"/>
      <c r="F22" s="172" t="n"/>
      <c r="G22" s="52" t="n"/>
      <c r="H22" s="170" t="inlineStr">
        <is>
          <t>NO CURRENT INDEXED LOCAL OFFER FOUND</t>
        </is>
      </c>
      <c r="I22" s="170" t="inlineStr"/>
      <c r="J22" s="52" t="n">
        <v>599</v>
      </c>
      <c r="K22" s="170" t="inlineStr">
        <is>
          <t>ARS24</t>
        </is>
      </c>
      <c r="L22" s="44" t="inlineStr">
        <is>
          <t>https://www.ars24.com/en/helix-amplify-206-dsp</t>
        </is>
      </c>
      <c r="M22" s="52" t="n"/>
      <c r="N22" s="170" t="inlineStr">
        <is>
          <t>NO CURRENT INDEXED LOCAL OFFER FOUND</t>
        </is>
      </c>
      <c r="O22" s="170" t="inlineStr"/>
      <c r="P22" s="52" t="n">
        <v>599</v>
      </c>
      <c r="Q22" s="170" t="inlineStr">
        <is>
          <t>FR-deliverable reference</t>
        </is>
      </c>
      <c r="R22" s="44" t="inlineStr">
        <is>
          <t>https://www.ars24.com/en/helix-amplify-206-dsp</t>
        </is>
      </c>
      <c r="S22" s="173">
        <f>IF(COUNT(G22,J22,M22,P22)=0,"",MIN(G22,J22,M22,P22))</f>
        <v/>
      </c>
      <c r="T22" s="174">
        <f>IF(S22="","",IF(G22=S22,"NL",IF(J22=S22,"DE",IF(M22=S22,"BE","FR"))))</f>
        <v/>
      </c>
      <c r="U22" s="173">
        <f>IF(COUNT(G22,J22,M22,P22)=0,"",AVERAGE(G22,J22,M22,P22))</f>
        <v/>
      </c>
      <c r="V22" s="174">
        <f>COUNT(G22,J22,M22,P22)</f>
        <v/>
      </c>
      <c r="W22" s="173">
        <f>IF(OR(F22="",S22=""),"",F22-S22)</f>
        <v/>
      </c>
      <c r="X22" s="173">
        <f>IF(OR(E22="",W22=""),"",E22*W22)</f>
        <v/>
      </c>
      <c r="Y22" s="170" t="inlineStr">
        <is>
          <t>2026-09-10</t>
        </is>
      </c>
      <c r="Z22" s="170" t="inlineStr">
        <is>
          <t>MEDIUM</t>
        </is>
      </c>
      <c r="AA22" s="170" t="inlineStr">
        <is>
          <t>COMPARE / VERIFY CHECKOUT</t>
        </is>
      </c>
      <c r="AB22" s="170" t="inlineStr"/>
      <c r="AC22" s="44" t="inlineStr">
        <is>
          <t>https://www.audiotec-fischer.de/en/helix/</t>
        </is>
      </c>
      <c r="AD22" s="170" t="inlineStr">
        <is>
          <t>CURRENT COMPARISON</t>
        </is>
      </c>
    </row>
    <row r="23" ht="48" customHeight="1">
      <c r="A23" s="170" t="inlineStr">
        <is>
          <t>B</t>
        </is>
      </c>
      <c r="B23" s="170" t="inlineStr">
        <is>
          <t>HELIX Ci3 M100FM-S3</t>
        </is>
      </c>
      <c r="C23" s="170" t="inlineStr">
        <is>
          <t>Speaker</t>
        </is>
      </c>
      <c r="D23" s="170" t="inlineStr">
        <is>
          <t>NO</t>
        </is>
      </c>
      <c r="E23" s="170" t="n"/>
      <c r="F23" s="172" t="n"/>
      <c r="G23" s="52" t="n"/>
      <c r="H23" s="170" t="inlineStr">
        <is>
          <t>NO CURRENT INDEXED LOCAL OFFER FOUND</t>
        </is>
      </c>
      <c r="I23" s="170" t="inlineStr"/>
      <c r="J23" s="52" t="n">
        <v>159</v>
      </c>
      <c r="K23" s="170" t="inlineStr">
        <is>
          <t>CarHifi-Store Bünde</t>
        </is>
      </c>
      <c r="L23" s="44" t="inlineStr">
        <is>
          <t>https://www.carhifi-store-buende.de/helix-ci3-m100fm-s3</t>
        </is>
      </c>
      <c r="M23" s="52" t="n"/>
      <c r="N23" s="170" t="inlineStr">
        <is>
          <t>NO CURRENT INDEXED LOCAL OFFER FOUND</t>
        </is>
      </c>
      <c r="O23" s="170" t="inlineStr"/>
      <c r="P23" s="52" t="n">
        <v>149</v>
      </c>
      <c r="Q23" s="170" t="inlineStr">
        <is>
          <t>Type-RSound FR-facing</t>
        </is>
      </c>
      <c r="R23" s="44" t="inlineStr">
        <is>
          <t>https://www.type-rsound.com/en/helix-ci3-m100fm-s3.html</t>
        </is>
      </c>
      <c r="S23" s="173">
        <f>IF(COUNT(G23,J23,M23,P23)=0,"",MIN(G23,J23,M23,P23))</f>
        <v/>
      </c>
      <c r="T23" s="174">
        <f>IF(S23="","",IF(G23=S23,"NL",IF(J23=S23,"DE",IF(M23=S23,"BE","FR"))))</f>
        <v/>
      </c>
      <c r="U23" s="173">
        <f>IF(COUNT(G23,J23,M23,P23)=0,"",AVERAGE(G23,J23,M23,P23))</f>
        <v/>
      </c>
      <c r="V23" s="174">
        <f>COUNT(G23,J23,M23,P23)</f>
        <v/>
      </c>
      <c r="W23" s="173">
        <f>IF(OR(F23="",S23=""),"",F23-S23)</f>
        <v/>
      </c>
      <c r="X23" s="173">
        <f>IF(OR(E23="",W23=""),"",E23*W23)</f>
        <v/>
      </c>
      <c r="Y23" s="170" t="inlineStr">
        <is>
          <t>2026-09-10</t>
        </is>
      </c>
      <c r="Z23" s="170" t="inlineStr">
        <is>
          <t>MEDIUM</t>
        </is>
      </c>
      <c r="AA23" s="170" t="inlineStr">
        <is>
          <t>COMPARE / VERIFY CHECKOUT</t>
        </is>
      </c>
      <c r="AB23" s="170" t="inlineStr"/>
      <c r="AC23" s="44" t="inlineStr">
        <is>
          <t>https://www.audiotec-fischer.de/en/helix/</t>
        </is>
      </c>
      <c r="AD23" s="170" t="inlineStr">
        <is>
          <t>CURRENT COMPARISON</t>
        </is>
      </c>
    </row>
    <row r="24" ht="48" customHeight="1">
      <c r="A24" s="170" t="inlineStr">
        <is>
          <t>B</t>
        </is>
      </c>
      <c r="B24" s="170" t="inlineStr">
        <is>
          <t>HELIX Ci5 M80FM-S3</t>
        </is>
      </c>
      <c r="C24" s="170" t="inlineStr">
        <is>
          <t>Speaker</t>
        </is>
      </c>
      <c r="D24" s="170" t="inlineStr">
        <is>
          <t>NO</t>
        </is>
      </c>
      <c r="E24" s="170" t="n"/>
      <c r="F24" s="172" t="n"/>
      <c r="G24" s="52" t="n"/>
      <c r="H24" s="170" t="inlineStr">
        <is>
          <t>NO CURRENT INDEXED LOCAL OFFER FOUND</t>
        </is>
      </c>
      <c r="I24" s="170" t="inlineStr"/>
      <c r="J24" s="52" t="n">
        <v>199</v>
      </c>
      <c r="K24" s="170" t="inlineStr">
        <is>
          <t>CarHifi-Store Bünde / ARS24</t>
        </is>
      </c>
      <c r="L24" s="44" t="inlineStr">
        <is>
          <t>https://www.carhifi-store-buende.de/helix-ci5-m80fm-s3</t>
        </is>
      </c>
      <c r="M24" s="52" t="n"/>
      <c r="N24" s="170" t="inlineStr">
        <is>
          <t>NO CURRENT INDEXED LOCAL OFFER FOUND</t>
        </is>
      </c>
      <c r="O24" s="170" t="inlineStr"/>
      <c r="P24" s="52" t="n"/>
      <c r="Q24" s="170" t="inlineStr">
        <is>
          <t>NO CURRENT INDEXED LOCAL OFFER FOUND</t>
        </is>
      </c>
      <c r="R24" s="170" t="inlineStr"/>
      <c r="S24" s="173">
        <f>IF(COUNT(G24,J24,M24,P24)=0,"",MIN(G24,J24,M24,P24))</f>
        <v/>
      </c>
      <c r="T24" s="174">
        <f>IF(S24="","",IF(G24=S24,"NL",IF(J24=S24,"DE",IF(M24=S24,"BE","FR"))))</f>
        <v/>
      </c>
      <c r="U24" s="173">
        <f>IF(COUNT(G24,J24,M24,P24)=0,"",AVERAGE(G24,J24,M24,P24))</f>
        <v/>
      </c>
      <c r="V24" s="174">
        <f>COUNT(G24,J24,M24,P24)</f>
        <v/>
      </c>
      <c r="W24" s="173">
        <f>IF(OR(F24="",S24=""),"",F24-S24)</f>
        <v/>
      </c>
      <c r="X24" s="173">
        <f>IF(OR(E24="",W24=""),"",E24*W24)</f>
        <v/>
      </c>
      <c r="Y24" s="170" t="inlineStr">
        <is>
          <t>2026-09-10</t>
        </is>
      </c>
      <c r="Z24" s="170" t="inlineStr">
        <is>
          <t>HIGH</t>
        </is>
      </c>
      <c r="AA24" s="170" t="inlineStr">
        <is>
          <t>COMPARE / VERIFY CHECKOUT</t>
        </is>
      </c>
      <c r="AB24" s="170" t="inlineStr"/>
      <c r="AC24" s="44" t="inlineStr">
        <is>
          <t>https://www.audiotec-fischer.de/en/helix/</t>
        </is>
      </c>
      <c r="AD24" s="170" t="inlineStr">
        <is>
          <t>CURRENT COMPARISON</t>
        </is>
      </c>
    </row>
    <row r="25" ht="48" customHeight="1">
      <c r="A25" s="170" t="inlineStr">
        <is>
          <t>B</t>
        </is>
      </c>
      <c r="B25" s="170" t="inlineStr">
        <is>
          <t>HELIX Ci7 M100FM-S3</t>
        </is>
      </c>
      <c r="C25" s="170" t="inlineStr">
        <is>
          <t>Speaker</t>
        </is>
      </c>
      <c r="D25" s="170" t="inlineStr">
        <is>
          <t>NO</t>
        </is>
      </c>
      <c r="E25" s="170" t="n"/>
      <c r="F25" s="172" t="n"/>
      <c r="G25" s="52" t="n"/>
      <c r="H25" s="170" t="inlineStr">
        <is>
          <t>NO CURRENT INDEXED LOCAL OFFER FOUND</t>
        </is>
      </c>
      <c r="I25" s="170" t="inlineStr"/>
      <c r="J25" s="52" t="n">
        <v>399</v>
      </c>
      <c r="K25" s="170" t="inlineStr">
        <is>
          <t>CarHifi-Store Bünde</t>
        </is>
      </c>
      <c r="L25" s="44" t="inlineStr">
        <is>
          <t>https://www.carhifi-store-buende.de/lautsprecher/helix-compose/helix-compose-i7/</t>
        </is>
      </c>
      <c r="M25" s="52" t="n"/>
      <c r="N25" s="170" t="inlineStr">
        <is>
          <t>NO CURRENT INDEXED LOCAL OFFER FOUND</t>
        </is>
      </c>
      <c r="O25" s="170" t="inlineStr"/>
      <c r="P25" s="52" t="n"/>
      <c r="Q25" s="170" t="inlineStr">
        <is>
          <t>NO CURRENT INDEXED LOCAL OFFER FOUND</t>
        </is>
      </c>
      <c r="R25" s="170" t="inlineStr"/>
      <c r="S25" s="173">
        <f>IF(COUNT(G25,J25,M25,P25)=0,"",MIN(G25,J25,M25,P25))</f>
        <v/>
      </c>
      <c r="T25" s="174">
        <f>IF(S25="","",IF(G25=S25,"NL",IF(J25=S25,"DE",IF(M25=S25,"BE","FR"))))</f>
        <v/>
      </c>
      <c r="U25" s="173">
        <f>IF(COUNT(G25,J25,M25,P25)=0,"",AVERAGE(G25,J25,M25,P25))</f>
        <v/>
      </c>
      <c r="V25" s="174">
        <f>COUNT(G25,J25,M25,P25)</f>
        <v/>
      </c>
      <c r="W25" s="173">
        <f>IF(OR(F25="",S25=""),"",F25-S25)</f>
        <v/>
      </c>
      <c r="X25" s="173">
        <f>IF(OR(E25="",W25=""),"",E25*W25)</f>
        <v/>
      </c>
      <c r="Y25" s="170" t="inlineStr">
        <is>
          <t>2026-09-10</t>
        </is>
      </c>
      <c r="Z25" s="170" t="inlineStr">
        <is>
          <t>HIGH</t>
        </is>
      </c>
      <c r="AA25" s="170" t="inlineStr">
        <is>
          <t>COMPARE / VERIFY CHECKOUT</t>
        </is>
      </c>
      <c r="AB25" s="170" t="inlineStr"/>
      <c r="AC25" s="44" t="inlineStr">
        <is>
          <t>https://www.audiotec-fischer.de/en/helix/</t>
        </is>
      </c>
      <c r="AD25" s="170" t="inlineStr">
        <is>
          <t>CURRENT COMPARISON</t>
        </is>
      </c>
    </row>
    <row r="26" ht="48" customHeight="1">
      <c r="A26" s="170" t="inlineStr">
        <is>
          <t>B</t>
        </is>
      </c>
      <c r="B26" s="170" t="inlineStr">
        <is>
          <t>HELIX Ci7 T20FM-SC</t>
        </is>
      </c>
      <c r="C26" s="170" t="inlineStr">
        <is>
          <t>Tweeter</t>
        </is>
      </c>
      <c r="D26" s="170" t="inlineStr">
        <is>
          <t>NO</t>
        </is>
      </c>
      <c r="E26" s="170" t="n"/>
      <c r="F26" s="172" t="n"/>
      <c r="G26" s="52" t="n"/>
      <c r="H26" s="170" t="inlineStr">
        <is>
          <t>NO CURRENT INDEXED LOCAL OFFER FOUND</t>
        </is>
      </c>
      <c r="I26" s="170" t="inlineStr"/>
      <c r="J26" s="52" t="n">
        <v>399</v>
      </c>
      <c r="K26" s="170" t="inlineStr">
        <is>
          <t>CarHifi-Store Bünde</t>
        </is>
      </c>
      <c r="L26" s="44" t="inlineStr">
        <is>
          <t>https://www.carhifi-store-buende.de/helix-ci7-t20fm-sc</t>
        </is>
      </c>
      <c r="M26" s="52" t="n"/>
      <c r="N26" s="170" t="inlineStr">
        <is>
          <t>NO CURRENT INDEXED LOCAL OFFER FOUND</t>
        </is>
      </c>
      <c r="O26" s="170" t="inlineStr"/>
      <c r="P26" s="52" t="n"/>
      <c r="Q26" s="170" t="inlineStr">
        <is>
          <t>NO CURRENT INDEXED LOCAL OFFER FOUND</t>
        </is>
      </c>
      <c r="R26" s="170" t="inlineStr"/>
      <c r="S26" s="173">
        <f>IF(COUNT(G26,J26,M26,P26)=0,"",MIN(G26,J26,M26,P26))</f>
        <v/>
      </c>
      <c r="T26" s="174">
        <f>IF(S26="","",IF(G26=S26,"NL",IF(J26=S26,"DE",IF(M26=S26,"BE","FR"))))</f>
        <v/>
      </c>
      <c r="U26" s="173">
        <f>IF(COUNT(G26,J26,M26,P26)=0,"",AVERAGE(G26,J26,M26,P26))</f>
        <v/>
      </c>
      <c r="V26" s="174">
        <f>COUNT(G26,J26,M26,P26)</f>
        <v/>
      </c>
      <c r="W26" s="173">
        <f>IF(OR(F26="",S26=""),"",F26-S26)</f>
        <v/>
      </c>
      <c r="X26" s="173">
        <f>IF(OR(E26="",W26=""),"",E26*W26)</f>
        <v/>
      </c>
      <c r="Y26" s="170" t="inlineStr">
        <is>
          <t>2026-09-10</t>
        </is>
      </c>
      <c r="Z26" s="170" t="inlineStr">
        <is>
          <t>HIGH</t>
        </is>
      </c>
      <c r="AA26" s="170" t="inlineStr">
        <is>
          <t>COMPARE / VERIFY CHECKOUT</t>
        </is>
      </c>
      <c r="AB26" s="170" t="inlineStr"/>
      <c r="AC26" s="44" t="inlineStr">
        <is>
          <t>https://www.audiotec-fischer.de/en/helix/</t>
        </is>
      </c>
      <c r="AD26" s="170" t="inlineStr">
        <is>
          <t>CURRENT COMPARISON</t>
        </is>
      </c>
    </row>
    <row r="27" ht="48" customHeight="1">
      <c r="A27" s="170" t="inlineStr">
        <is>
          <t>B</t>
        </is>
      </c>
      <c r="B27" s="170" t="inlineStr">
        <is>
          <t>HELIX Ci7 W200FM-S3</t>
        </is>
      </c>
      <c r="C27" s="170" t="inlineStr">
        <is>
          <t>Speaker</t>
        </is>
      </c>
      <c r="D27" s="170" t="inlineStr">
        <is>
          <t>NO</t>
        </is>
      </c>
      <c r="E27" s="170" t="n"/>
      <c r="F27" s="172" t="n"/>
      <c r="G27" s="52" t="n"/>
      <c r="H27" s="170" t="inlineStr">
        <is>
          <t>NO CURRENT INDEXED LOCAL OFFER FOUND</t>
        </is>
      </c>
      <c r="I27" s="170" t="inlineStr"/>
      <c r="J27" s="52" t="n">
        <v>509</v>
      </c>
      <c r="K27" s="170" t="inlineStr">
        <is>
          <t>CarHifi-Store Bünde no-grille reference</t>
        </is>
      </c>
      <c r="L27" s="44" t="inlineStr">
        <is>
          <t>https://www.carhifi-store-buende.de/lautsprecher/helix-compose/helix-compose-i7/</t>
        </is>
      </c>
      <c r="M27" s="52" t="n"/>
      <c r="N27" s="170" t="inlineStr">
        <is>
          <t>NO CURRENT INDEXED LOCAL OFFER FOUND</t>
        </is>
      </c>
      <c r="O27" s="170" t="inlineStr"/>
      <c r="P27" s="52" t="n"/>
      <c r="Q27" s="170" t="inlineStr">
        <is>
          <t>NO CURRENT INDEXED LOCAL OFFER FOUND</t>
        </is>
      </c>
      <c r="R27" s="170" t="inlineStr"/>
      <c r="S27" s="173">
        <f>IF(COUNT(G27,J27,M27,P27)=0,"",MIN(G27,J27,M27,P27))</f>
        <v/>
      </c>
      <c r="T27" s="174">
        <f>IF(S27="","",IF(G27=S27,"NL",IF(J27=S27,"DE",IF(M27=S27,"BE","FR"))))</f>
        <v/>
      </c>
      <c r="U27" s="173">
        <f>IF(COUNT(G27,J27,M27,P27)=0,"",AVERAGE(G27,J27,M27,P27))</f>
        <v/>
      </c>
      <c r="V27" s="174">
        <f>COUNT(G27,J27,M27,P27)</f>
        <v/>
      </c>
      <c r="W27" s="173">
        <f>IF(OR(F27="",S27=""),"",F27-S27)</f>
        <v/>
      </c>
      <c r="X27" s="173">
        <f>IF(OR(E27="",W27=""),"",E27*W27)</f>
        <v/>
      </c>
      <c r="Y27" s="170" t="inlineStr">
        <is>
          <t>2026-09-10</t>
        </is>
      </c>
      <c r="Z27" s="170" t="inlineStr">
        <is>
          <t>HIGH</t>
        </is>
      </c>
      <c r="AA27" s="170" t="inlineStr">
        <is>
          <t>COMPARE / VERIFY CHECKOUT</t>
        </is>
      </c>
      <c r="AB27" s="170" t="inlineStr"/>
      <c r="AC27" s="44" t="inlineStr">
        <is>
          <t>https://www.audiotec-fischer.de/en/helix/</t>
        </is>
      </c>
      <c r="AD27" s="170" t="inlineStr">
        <is>
          <t>CURRENT COMPARISON</t>
        </is>
      </c>
    </row>
    <row r="28" ht="48" customHeight="1">
      <c r="A28" s="170" t="inlineStr">
        <is>
          <t>B</t>
        </is>
      </c>
      <c r="B28" s="170" t="inlineStr">
        <is>
          <t>HELIX DIRECTOR for SCP</t>
        </is>
      </c>
      <c r="C28" s="170" t="inlineStr">
        <is>
          <t>Controller</t>
        </is>
      </c>
      <c r="D28" s="170" t="inlineStr">
        <is>
          <t>NO</t>
        </is>
      </c>
      <c r="E28" s="170" t="n"/>
      <c r="F28" s="172" t="n"/>
      <c r="G28" s="52" t="n">
        <v>299</v>
      </c>
      <c r="H28" s="170" t="inlineStr">
        <is>
          <t>HifiMotive</t>
        </is>
      </c>
      <c r="I28" s="44" t="inlineStr">
        <is>
          <t>https://www.caraudio.nl/assortiment/helix</t>
        </is>
      </c>
      <c r="J28" s="52" t="n">
        <v>249</v>
      </c>
      <c r="K28" s="170" t="inlineStr">
        <is>
          <t>Caraudio-store / ARS24</t>
        </is>
      </c>
      <c r="L28" s="44" t="inlineStr">
        <is>
          <t>https://www.ars24.com/en/helix-director-for-scp</t>
        </is>
      </c>
      <c r="M28" s="52" t="n"/>
      <c r="N28" s="170" t="inlineStr">
        <is>
          <t>NO CURRENT INDEXED LOCAL OFFER FOUND</t>
        </is>
      </c>
      <c r="O28" s="170" t="inlineStr"/>
      <c r="P28" s="52" t="n">
        <v>249</v>
      </c>
      <c r="Q28" s="170" t="inlineStr">
        <is>
          <t>ARS24 FR delivery</t>
        </is>
      </c>
      <c r="R28" s="44" t="inlineStr">
        <is>
          <t>https://www.ars24.com/en/helix-director-for-scp</t>
        </is>
      </c>
      <c r="S28" s="173">
        <f>IF(COUNT(G28,J28,M28,P28)=0,"",MIN(G28,J28,M28,P28))</f>
        <v/>
      </c>
      <c r="T28" s="174">
        <f>IF(S28="","",IF(G28=S28,"NL",IF(J28=S28,"DE",IF(M28=S28,"BE","FR"))))</f>
        <v/>
      </c>
      <c r="U28" s="173">
        <f>IF(COUNT(G28,J28,M28,P28)=0,"",AVERAGE(G28,J28,M28,P28))</f>
        <v/>
      </c>
      <c r="V28" s="174">
        <f>COUNT(G28,J28,M28,P28)</f>
        <v/>
      </c>
      <c r="W28" s="173">
        <f>IF(OR(F28="",S28=""),"",F28-S28)</f>
        <v/>
      </c>
      <c r="X28" s="173">
        <f>IF(OR(E28="",W28=""),"",E28*W28)</f>
        <v/>
      </c>
      <c r="Y28" s="170" t="inlineStr">
        <is>
          <t>2026-09-10</t>
        </is>
      </c>
      <c r="Z28" s="170" t="inlineStr">
        <is>
          <t>HIGH</t>
        </is>
      </c>
      <c r="AA28" s="170" t="inlineStr">
        <is>
          <t>COMPARE / VERIFY CHECKOUT</t>
        </is>
      </c>
      <c r="AB28" s="170" t="inlineStr"/>
      <c r="AC28" s="44" t="inlineStr">
        <is>
          <t>https://www.audiotec-fischer.de/en/helix/</t>
        </is>
      </c>
      <c r="AD28" s="170" t="inlineStr">
        <is>
          <t>CURRENT COMPARISON</t>
        </is>
      </c>
    </row>
    <row r="29" ht="48" customHeight="1">
      <c r="A29" s="170" t="inlineStr">
        <is>
          <t>B</t>
        </is>
      </c>
      <c r="B29" s="170" t="inlineStr">
        <is>
          <t>HELIX M ONE</t>
        </is>
      </c>
      <c r="C29" s="170" t="inlineStr">
        <is>
          <t>Sub amplifier</t>
        </is>
      </c>
      <c r="D29" s="170" t="inlineStr">
        <is>
          <t>NO</t>
        </is>
      </c>
      <c r="E29" s="170" t="n"/>
      <c r="F29" s="172" t="n"/>
      <c r="G29" s="52" t="n">
        <v>299</v>
      </c>
      <c r="H29" s="170" t="inlineStr">
        <is>
          <t>NL specialist reference</t>
        </is>
      </c>
      <c r="I29" s="44" t="inlineStr">
        <is>
          <t>https://www.caraudio.nl/assortiment/helix</t>
        </is>
      </c>
      <c r="J29" s="52" t="n">
        <v>299</v>
      </c>
      <c r="K29" s="170" t="inlineStr">
        <is>
          <t>CarHifi-Store Bünde</t>
        </is>
      </c>
      <c r="L29" s="44" t="inlineStr">
        <is>
          <t>https://www.carhifi-store-buende.de/endstufen/helix/</t>
        </is>
      </c>
      <c r="M29" s="52" t="n"/>
      <c r="N29" s="170" t="inlineStr">
        <is>
          <t>NO CURRENT INDEXED LOCAL OFFER FOUND</t>
        </is>
      </c>
      <c r="O29" s="170" t="inlineStr"/>
      <c r="P29" s="52" t="n"/>
      <c r="Q29" s="170" t="inlineStr">
        <is>
          <t>NO CURRENT INDEXED LOCAL OFFER FOUND</t>
        </is>
      </c>
      <c r="R29" s="170" t="inlineStr"/>
      <c r="S29" s="173">
        <f>IF(COUNT(G29,J29,M29,P29)=0,"",MIN(G29,J29,M29,P29))</f>
        <v/>
      </c>
      <c r="T29" s="174">
        <f>IF(S29="","",IF(G29=S29,"NL",IF(J29=S29,"DE",IF(M29=S29,"BE","FR"))))</f>
        <v/>
      </c>
      <c r="U29" s="173">
        <f>IF(COUNT(G29,J29,M29,P29)=0,"",AVERAGE(G29,J29,M29,P29))</f>
        <v/>
      </c>
      <c r="V29" s="174">
        <f>COUNT(G29,J29,M29,P29)</f>
        <v/>
      </c>
      <c r="W29" s="173">
        <f>IF(OR(F29="",S29=""),"",F29-S29)</f>
        <v/>
      </c>
      <c r="X29" s="173">
        <f>IF(OR(E29="",W29=""),"",E29*W29)</f>
        <v/>
      </c>
      <c r="Y29" s="170" t="inlineStr">
        <is>
          <t>2026-09-10</t>
        </is>
      </c>
      <c r="Z29" s="170" t="inlineStr">
        <is>
          <t>MEDIUM</t>
        </is>
      </c>
      <c r="AA29" s="170" t="inlineStr">
        <is>
          <t>COMPARE / VERIFY CHECKOUT</t>
        </is>
      </c>
      <c r="AB29" s="170" t="inlineStr"/>
      <c r="AC29" s="44" t="inlineStr">
        <is>
          <t>https://www.audiotec-fischer.de/en/helix/</t>
        </is>
      </c>
      <c r="AD29" s="170" t="inlineStr">
        <is>
          <t>CURRENT COMPARISON</t>
        </is>
      </c>
    </row>
    <row r="30" ht="48" customHeight="1">
      <c r="A30" s="170" t="inlineStr">
        <is>
          <t>B</t>
        </is>
      </c>
      <c r="B30" s="170" t="inlineStr">
        <is>
          <t>HELIX M ONE X</t>
        </is>
      </c>
      <c r="C30" s="170" t="inlineStr">
        <is>
          <t>Sub amplifier</t>
        </is>
      </c>
      <c r="D30" s="170" t="inlineStr">
        <is>
          <t>NO</t>
        </is>
      </c>
      <c r="E30" s="170" t="n"/>
      <c r="F30" s="172" t="n"/>
      <c r="G30" s="52" t="n">
        <v>379</v>
      </c>
      <c r="H30" s="170" t="inlineStr">
        <is>
          <t>NL specialist reference</t>
        </is>
      </c>
      <c r="I30" s="44" t="inlineStr">
        <is>
          <t>https://www.caraudio.nl/assortiment/helix</t>
        </is>
      </c>
      <c r="J30" s="52" t="n">
        <v>349</v>
      </c>
      <c r="K30" s="170" t="inlineStr">
        <is>
          <t>DE current comparison</t>
        </is>
      </c>
      <c r="L30" s="44" t="inlineStr">
        <is>
          <t>https://www.carhifi-store-buende.de/helix-m-one-x</t>
        </is>
      </c>
      <c r="M30" s="52" t="n"/>
      <c r="N30" s="170" t="inlineStr">
        <is>
          <t>NO CURRENT INDEXED LOCAL OFFER FOUND</t>
        </is>
      </c>
      <c r="O30" s="170" t="inlineStr"/>
      <c r="P30" s="52" t="n"/>
      <c r="Q30" s="170" t="inlineStr">
        <is>
          <t>NO CURRENT INDEXED LOCAL OFFER FOUND</t>
        </is>
      </c>
      <c r="R30" s="170" t="inlineStr"/>
      <c r="S30" s="173">
        <f>IF(COUNT(G30,J30,M30,P30)=0,"",MIN(G30,J30,M30,P30))</f>
        <v/>
      </c>
      <c r="T30" s="174">
        <f>IF(S30="","",IF(G30=S30,"NL",IF(J30=S30,"DE",IF(M30=S30,"BE","FR"))))</f>
        <v/>
      </c>
      <c r="U30" s="173">
        <f>IF(COUNT(G30,J30,M30,P30)=0,"",AVERAGE(G30,J30,M30,P30))</f>
        <v/>
      </c>
      <c r="V30" s="174">
        <f>COUNT(G30,J30,M30,P30)</f>
        <v/>
      </c>
      <c r="W30" s="173">
        <f>IF(OR(F30="",S30=""),"",F30-S30)</f>
        <v/>
      </c>
      <c r="X30" s="173">
        <f>IF(OR(E30="",W30=""),"",E30*W30)</f>
        <v/>
      </c>
      <c r="Y30" s="170" t="inlineStr">
        <is>
          <t>2026-09-10</t>
        </is>
      </c>
      <c r="Z30" s="170" t="inlineStr">
        <is>
          <t>MEDIUM</t>
        </is>
      </c>
      <c r="AA30" s="170" t="inlineStr">
        <is>
          <t>COMPARE / VERIFY CHECKOUT</t>
        </is>
      </c>
      <c r="AB30" s="170" t="inlineStr"/>
      <c r="AC30" s="44" t="inlineStr">
        <is>
          <t>https://www.audiotec-fischer.de/en/helix/</t>
        </is>
      </c>
      <c r="AD30" s="170" t="inlineStr">
        <is>
          <t>CURRENT COMPARISON</t>
        </is>
      </c>
    </row>
    <row r="31" ht="48" customHeight="1">
      <c r="A31" s="170" t="inlineStr">
        <is>
          <t>B</t>
        </is>
      </c>
      <c r="B31" s="170" t="inlineStr">
        <is>
          <t>HELIX NEXT V EIGHT DSP ULTIMATE</t>
        </is>
      </c>
      <c r="C31" s="170" t="inlineStr">
        <is>
          <t>DSP amplifier</t>
        </is>
      </c>
      <c r="D31" s="170" t="inlineStr">
        <is>
          <t>NO</t>
        </is>
      </c>
      <c r="E31" s="170" t="n"/>
      <c r="F31" s="172" t="n"/>
      <c r="G31" s="52" t="n">
        <v>1349</v>
      </c>
      <c r="H31" s="170" t="inlineStr">
        <is>
          <t>ACR / Schut</t>
        </is>
      </c>
      <c r="I31" s="44" t="inlineStr">
        <is>
          <t>https://www.acr-helmond.nl/</t>
        </is>
      </c>
      <c r="J31" s="52" t="n">
        <v>1349</v>
      </c>
      <c r="K31" s="170" t="inlineStr">
        <is>
          <t>Caraudio-Store / Audiomativ</t>
        </is>
      </c>
      <c r="L31" s="44" t="inlineStr">
        <is>
          <t>https://www.caraudio-store.de/DSP-Verstaerker</t>
        </is>
      </c>
      <c r="M31" s="52" t="n"/>
      <c r="N31" s="170" t="inlineStr">
        <is>
          <t>NO CURRENT INDEXED LOCAL OFFER FOUND</t>
        </is>
      </c>
      <c r="O31" s="170" t="inlineStr"/>
      <c r="P31" s="52" t="n">
        <v>1349</v>
      </c>
      <c r="Q31" s="170" t="inlineStr">
        <is>
          <t>Type-RSound FR-facing</t>
        </is>
      </c>
      <c r="R31" s="44" t="inlineStr">
        <is>
          <t>https://www.type-rsound.com/fr/categories/audio-de-voiture/amplificateur/8-canaux.html</t>
        </is>
      </c>
      <c r="S31" s="173">
        <f>IF(COUNT(G31,J31,M31,P31)=0,"",MIN(G31,J31,M31,P31))</f>
        <v/>
      </c>
      <c r="T31" s="174">
        <f>IF(S31="","",IF(G31=S31,"NL",IF(J31=S31,"DE",IF(M31=S31,"BE","FR"))))</f>
        <v/>
      </c>
      <c r="U31" s="173">
        <f>IF(COUNT(G31,J31,M31,P31)=0,"",AVERAGE(G31,J31,M31,P31))</f>
        <v/>
      </c>
      <c r="V31" s="174">
        <f>COUNT(G31,J31,M31,P31)</f>
        <v/>
      </c>
      <c r="W31" s="173">
        <f>IF(OR(F31="",S31=""),"",F31-S31)</f>
        <v/>
      </c>
      <c r="X31" s="173">
        <f>IF(OR(E31="",W31=""),"",E31*W31)</f>
        <v/>
      </c>
      <c r="Y31" s="170" t="inlineStr">
        <is>
          <t>2026-09-10</t>
        </is>
      </c>
      <c r="Z31" s="170" t="inlineStr">
        <is>
          <t>MEDIUM</t>
        </is>
      </c>
      <c r="AA31" s="170" t="inlineStr">
        <is>
          <t>COMPARE / VERIFY CHECKOUT</t>
        </is>
      </c>
      <c r="AB31" s="170" t="inlineStr"/>
      <c r="AC31" s="44" t="inlineStr">
        <is>
          <t>https://www.audiotec-fischer.de/en/helix/</t>
        </is>
      </c>
      <c r="AD31" s="170" t="inlineStr">
        <is>
          <t>CURRENT COMPARISON</t>
        </is>
      </c>
    </row>
    <row r="32" ht="48" customHeight="1">
      <c r="A32" s="170" t="inlineStr">
        <is>
          <t>B</t>
        </is>
      </c>
      <c r="B32" s="170" t="inlineStr">
        <is>
          <t>HELIX V TWELVE DSP MK2</t>
        </is>
      </c>
      <c r="C32" s="170" t="inlineStr">
        <is>
          <t>DSP amplifier</t>
        </is>
      </c>
      <c r="D32" s="170" t="inlineStr">
        <is>
          <t>NO</t>
        </is>
      </c>
      <c r="E32" s="170" t="n"/>
      <c r="F32" s="172" t="n"/>
      <c r="G32" s="52" t="n">
        <v>1499</v>
      </c>
      <c r="H32" s="170" t="inlineStr">
        <is>
          <t>ACR Helmond / Schut</t>
        </is>
      </c>
      <c r="I32" s="44" t="inlineStr">
        <is>
          <t>https://www.acr-helmond.nl/helix-v-twelve-dsp-mk2.htm</t>
        </is>
      </c>
      <c r="J32" s="52" t="n">
        <v>1499</v>
      </c>
      <c r="K32" s="170" t="inlineStr">
        <is>
          <t>Caraudio-Store / ARS24</t>
        </is>
      </c>
      <c r="L32" s="44" t="inlineStr">
        <is>
          <t>https://www.caraudio-store.de/Helix-V-TWELVE-DSP-MK2</t>
        </is>
      </c>
      <c r="M32" s="52" t="n">
        <v>1499</v>
      </c>
      <c r="N32" s="170" t="inlineStr">
        <is>
          <t>HifiMotive dealer network</t>
        </is>
      </c>
      <c r="O32" s="44" t="inlineStr">
        <is>
          <t>https://www.caraudio.nl/assortiment/helix</t>
        </is>
      </c>
      <c r="P32" s="52" t="n">
        <v>1499</v>
      </c>
      <c r="Q32" s="170" t="inlineStr">
        <is>
          <t>ARS24 FR delivery</t>
        </is>
      </c>
      <c r="R32" s="44" t="inlineStr">
        <is>
          <t>https://www.ars24.com/en/helix-v-twelve-dsp-mk2</t>
        </is>
      </c>
      <c r="S32" s="173">
        <f>IF(COUNT(G32,J32,M32,P32)=0,"",MIN(G32,J32,M32,P32))</f>
        <v/>
      </c>
      <c r="T32" s="174">
        <f>IF(S32="","",IF(G32=S32,"NL",IF(J32=S32,"DE",IF(M32=S32,"BE","FR"))))</f>
        <v/>
      </c>
      <c r="U32" s="173">
        <f>IF(COUNT(G32,J32,M32,P32)=0,"",AVERAGE(G32,J32,M32,P32))</f>
        <v/>
      </c>
      <c r="V32" s="174">
        <f>COUNT(G32,J32,M32,P32)</f>
        <v/>
      </c>
      <c r="W32" s="173">
        <f>IF(OR(F32="",S32=""),"",F32-S32)</f>
        <v/>
      </c>
      <c r="X32" s="173">
        <f>IF(OR(E32="",W32=""),"",E32*W32)</f>
        <v/>
      </c>
      <c r="Y32" s="170" t="inlineStr">
        <is>
          <t>2026-09-10</t>
        </is>
      </c>
      <c r="Z32" s="170" t="inlineStr">
        <is>
          <t>MEDIUM</t>
        </is>
      </c>
      <c r="AA32" s="170" t="inlineStr">
        <is>
          <t>COMPARE / VERIFY CHECKOUT</t>
        </is>
      </c>
      <c r="AB32" s="170" t="inlineStr"/>
      <c r="AC32" s="44" t="inlineStr">
        <is>
          <t>https://www.audiotec-fischer.de/en/helix/</t>
        </is>
      </c>
      <c r="AD32" s="170" t="inlineStr">
        <is>
          <t>CURRENT COMPARISON</t>
        </is>
      </c>
    </row>
    <row r="33" ht="48" customHeight="1">
      <c r="A33" s="170" t="inlineStr">
        <is>
          <t>B</t>
        </is>
      </c>
      <c r="B33" s="170" t="inlineStr">
        <is>
          <t>MATCH UP 10DSP MK2</t>
        </is>
      </c>
      <c r="C33" s="170" t="inlineStr">
        <is>
          <t>DSP amplifier</t>
        </is>
      </c>
      <c r="D33" s="170" t="inlineStr">
        <is>
          <t>NO</t>
        </is>
      </c>
      <c r="E33" s="170" t="n"/>
      <c r="F33" s="172" t="n"/>
      <c r="G33" s="52" t="n">
        <v>1049</v>
      </c>
      <c r="H33" s="170" t="inlineStr">
        <is>
          <t>HifiMotive / ACR</t>
        </is>
      </c>
      <c r="I33" s="44" t="inlineStr">
        <is>
          <t>https://www.caraudio.nl/artikel/match-up-10dsp-mk2-10-kanaals-dsp-versterker-maup10dspmk2</t>
        </is>
      </c>
      <c r="J33" s="52" t="n">
        <v>1049</v>
      </c>
      <c r="K33" s="170" t="inlineStr">
        <is>
          <t>ARS24 / DE sellers</t>
        </is>
      </c>
      <c r="L33" s="44" t="inlineStr">
        <is>
          <t>https://www.ars24.com/en/match-up10dsp-mk2</t>
        </is>
      </c>
      <c r="M33" s="52" t="n"/>
      <c r="N33" s="170" t="inlineStr">
        <is>
          <t>NO CURRENT INDEXED LOCAL OFFER FOUND</t>
        </is>
      </c>
      <c r="O33" s="170" t="inlineStr"/>
      <c r="P33" s="52" t="n"/>
      <c r="Q33" s="170" t="inlineStr">
        <is>
          <t>NO CURRENT INDEXED LOCAL OFFER FOUND</t>
        </is>
      </c>
      <c r="R33" s="170" t="inlineStr"/>
      <c r="S33" s="173">
        <f>IF(COUNT(G33,J33,M33,P33)=0,"",MIN(G33,J33,M33,P33))</f>
        <v/>
      </c>
      <c r="T33" s="174">
        <f>IF(S33="","",IF(G33=S33,"NL",IF(J33=S33,"DE",IF(M33=S33,"BE","FR"))))</f>
        <v/>
      </c>
      <c r="U33" s="173">
        <f>IF(COUNT(G33,J33,M33,P33)=0,"",AVERAGE(G33,J33,M33,P33))</f>
        <v/>
      </c>
      <c r="V33" s="174">
        <f>COUNT(G33,J33,M33,P33)</f>
        <v/>
      </c>
      <c r="W33" s="173">
        <f>IF(OR(F33="",S33=""),"",F33-S33)</f>
        <v/>
      </c>
      <c r="X33" s="173">
        <f>IF(OR(E33="",W33=""),"",E33*W33)</f>
        <v/>
      </c>
      <c r="Y33" s="170" t="inlineStr">
        <is>
          <t>2026-09-10</t>
        </is>
      </c>
      <c r="Z33" s="170" t="inlineStr">
        <is>
          <t>HIGH</t>
        </is>
      </c>
      <c r="AA33" s="170" t="inlineStr">
        <is>
          <t>COMPARE / VERIFY CHECKOUT</t>
        </is>
      </c>
      <c r="AB33" s="170" t="inlineStr"/>
      <c r="AC33" s="44" t="inlineStr">
        <is>
          <t>https://www.audiotec-fischer.de/en/match/</t>
        </is>
      </c>
      <c r="AD33" s="170" t="inlineStr">
        <is>
          <t>CURRENT COMPARISON</t>
        </is>
      </c>
    </row>
    <row r="34" ht="48" customHeight="1">
      <c r="A34" s="170" t="inlineStr">
        <is>
          <t>B</t>
        </is>
      </c>
      <c r="B34" s="170" t="inlineStr">
        <is>
          <t>MATCH UP 1FX</t>
        </is>
      </c>
      <c r="C34" s="170" t="inlineStr">
        <is>
          <t>Sub amplifier</t>
        </is>
      </c>
      <c r="D34" s="170" t="inlineStr">
        <is>
          <t>NO</t>
        </is>
      </c>
      <c r="E34" s="170" t="n"/>
      <c r="F34" s="172" t="n"/>
      <c r="G34" s="52" t="n">
        <v>299</v>
      </c>
      <c r="H34" s="170" t="inlineStr">
        <is>
          <t>HifiMotive</t>
        </is>
      </c>
      <c r="I34" s="44" t="inlineStr">
        <is>
          <t>https://www.caraudio.nl/assortiment/match</t>
        </is>
      </c>
      <c r="J34" s="52" t="n">
        <v>299</v>
      </c>
      <c r="K34" s="170" t="inlineStr">
        <is>
          <t>ARS24</t>
        </is>
      </c>
      <c r="L34" s="44" t="inlineStr">
        <is>
          <t>https://www.ars24.com/en/match-up1fx</t>
        </is>
      </c>
      <c r="M34" s="52" t="n"/>
      <c r="N34" s="170" t="inlineStr">
        <is>
          <t>NO CURRENT INDEXED LOCAL OFFER FOUND</t>
        </is>
      </c>
      <c r="O34" s="170" t="inlineStr"/>
      <c r="P34" s="52" t="n">
        <v>299</v>
      </c>
      <c r="Q34" s="170" t="inlineStr">
        <is>
          <t>ARS24 FR delivery</t>
        </is>
      </c>
      <c r="R34" s="44" t="inlineStr">
        <is>
          <t>https://www.ars24.com/en/match-up1fx</t>
        </is>
      </c>
      <c r="S34" s="173">
        <f>IF(COUNT(G34,J34,M34,P34)=0,"",MIN(G34,J34,M34,P34))</f>
        <v/>
      </c>
      <c r="T34" s="174">
        <f>IF(S34="","",IF(G34=S34,"NL",IF(J34=S34,"DE",IF(M34=S34,"BE","FR"))))</f>
        <v/>
      </c>
      <c r="U34" s="173">
        <f>IF(COUNT(G34,J34,M34,P34)=0,"",AVERAGE(G34,J34,M34,P34))</f>
        <v/>
      </c>
      <c r="V34" s="174">
        <f>COUNT(G34,J34,M34,P34)</f>
        <v/>
      </c>
      <c r="W34" s="173">
        <f>IF(OR(F34="",S34=""),"",F34-S34)</f>
        <v/>
      </c>
      <c r="X34" s="173">
        <f>IF(OR(E34="",W34=""),"",E34*W34)</f>
        <v/>
      </c>
      <c r="Y34" s="170" t="inlineStr">
        <is>
          <t>2026-09-10</t>
        </is>
      </c>
      <c r="Z34" s="170" t="inlineStr">
        <is>
          <t>MEDIUM</t>
        </is>
      </c>
      <c r="AA34" s="170" t="inlineStr">
        <is>
          <t>COMPARE / VERIFY CHECKOUT</t>
        </is>
      </c>
      <c r="AB34" s="170" t="inlineStr"/>
      <c r="AC34" s="44" t="inlineStr">
        <is>
          <t>https://www.audiotec-fischer.de/en/match/</t>
        </is>
      </c>
      <c r="AD34" s="170" t="inlineStr">
        <is>
          <t>CURRENT COMPARISON</t>
        </is>
      </c>
    </row>
    <row r="35" ht="48" customHeight="1">
      <c r="A35" s="170" t="inlineStr">
        <is>
          <t>C</t>
        </is>
      </c>
      <c r="B35" s="170" t="inlineStr">
        <is>
          <t>Audison AP 2 MV</t>
        </is>
      </c>
      <c r="C35" s="170" t="inlineStr">
        <is>
          <t>Speaker</t>
        </is>
      </c>
      <c r="D35" s="170" t="inlineStr">
        <is>
          <t>NO</t>
        </is>
      </c>
      <c r="E35" s="170" t="n"/>
      <c r="F35" s="172" t="n"/>
      <c r="G35" s="52" t="n">
        <v>119</v>
      </c>
      <c r="H35" s="170" t="inlineStr">
        <is>
          <t>MB Car Audio / AutoSound24</t>
        </is>
      </c>
      <c r="I35" s="44" t="inlineStr">
        <is>
          <t>https://mbcaraudio.nl/87-cm-/audison-ap-2-mv.html</t>
        </is>
      </c>
      <c r="J35" s="52" t="n"/>
      <c r="K35" s="170" t="inlineStr">
        <is>
          <t>NO CURRENT INDEXED LOCAL OFFER FOUND</t>
        </is>
      </c>
      <c r="L35" s="170" t="inlineStr"/>
      <c r="M35" s="52" t="n"/>
      <c r="N35" s="170" t="inlineStr">
        <is>
          <t>NO CURRENT INDEXED LOCAL OFFER FOUND</t>
        </is>
      </c>
      <c r="O35" s="170" t="inlineStr"/>
      <c r="P35" s="52" t="n"/>
      <c r="Q35" s="170" t="inlineStr">
        <is>
          <t>NO CURRENT INDEXED LOCAL OFFER FOUND</t>
        </is>
      </c>
      <c r="R35" s="170" t="inlineStr"/>
      <c r="S35" s="173">
        <f>IF(COUNT(G35,J35,M35,P35)=0,"",MIN(G35,J35,M35,P35))</f>
        <v/>
      </c>
      <c r="T35" s="174">
        <f>IF(S35="","",IF(G35=S35,"NL",IF(J35=S35,"DE",IF(M35=S35,"BE","FR"))))</f>
        <v/>
      </c>
      <c r="U35" s="173">
        <f>IF(COUNT(G35,J35,M35,P35)=0,"",AVERAGE(G35,J35,M35,P35))</f>
        <v/>
      </c>
      <c r="V35" s="174">
        <f>COUNT(G35,J35,M35,P35)</f>
        <v/>
      </c>
      <c r="W35" s="173">
        <f>IF(OR(F35="",S35=""),"",F35-S35)</f>
        <v/>
      </c>
      <c r="X35" s="173">
        <f>IF(OR(E35="",W35=""),"",E35*W35)</f>
        <v/>
      </c>
      <c r="Y35" s="170" t="inlineStr">
        <is>
          <t>2026-09-10</t>
        </is>
      </c>
      <c r="Z35" s="170" t="inlineStr">
        <is>
          <t>HIGH</t>
        </is>
      </c>
      <c r="AA35" s="170" t="inlineStr">
        <is>
          <t>COMPARE / VERIFY CHECKOUT</t>
        </is>
      </c>
      <c r="AB35" s="170" t="inlineStr"/>
      <c r="AC35" s="44" t="inlineStr">
        <is>
          <t>https://audison.com/</t>
        </is>
      </c>
      <c r="AD35" s="170" t="inlineStr">
        <is>
          <t>ALTERNATIVE / HISTORICAL</t>
        </is>
      </c>
    </row>
    <row r="36" ht="48" customHeight="1">
      <c r="A36" s="170" t="inlineStr">
        <is>
          <t>C</t>
        </is>
      </c>
      <c r="B36" s="170" t="inlineStr">
        <is>
          <t>Audison AP TSL 8</t>
        </is>
      </c>
      <c r="C36" s="170" t="inlineStr">
        <is>
          <t>Woofer</t>
        </is>
      </c>
      <c r="D36" s="170" t="inlineStr">
        <is>
          <t>NO</t>
        </is>
      </c>
      <c r="E36" s="170" t="n"/>
      <c r="F36" s="172" t="n"/>
      <c r="G36" s="52" t="n"/>
      <c r="H36" s="170" t="inlineStr">
        <is>
          <t>NO CURRENT INDEXED LOCAL OFFER FOUND</t>
        </is>
      </c>
      <c r="I36" s="170" t="inlineStr"/>
      <c r="J36" s="52" t="n"/>
      <c r="K36" s="170" t="inlineStr">
        <is>
          <t>NO CURRENT INDEXED LOCAL OFFER FOUND</t>
        </is>
      </c>
      <c r="L36" s="170" t="inlineStr"/>
      <c r="M36" s="52" t="n"/>
      <c r="N36" s="170" t="inlineStr">
        <is>
          <t>NO CURRENT INDEXED LOCAL OFFER FOUND</t>
        </is>
      </c>
      <c r="O36" s="170" t="inlineStr"/>
      <c r="P36" s="52" t="n"/>
      <c r="Q36" s="170" t="inlineStr">
        <is>
          <t>NO CURRENT INDEXED LOCAL OFFER FOUND</t>
        </is>
      </c>
      <c r="R36" s="170" t="inlineStr"/>
      <c r="S36" s="173">
        <f>IF(COUNT(G36,J36,M36,P36)=0,"",MIN(G36,J36,M36,P36))</f>
        <v/>
      </c>
      <c r="T36" s="174">
        <f>IF(S36="","",IF(G36=S36,"NL",IF(J36=S36,"DE",IF(M36=S36,"BE","FR"))))</f>
        <v/>
      </c>
      <c r="U36" s="173">
        <f>IF(COUNT(G36,J36,M36,P36)=0,"",AVERAGE(G36,J36,M36,P36))</f>
        <v/>
      </c>
      <c r="V36" s="174">
        <f>COUNT(G36,J36,M36,P36)</f>
        <v/>
      </c>
      <c r="W36" s="173">
        <f>IF(OR(F36="",S36=""),"",F36-S36)</f>
        <v/>
      </c>
      <c r="X36" s="173">
        <f>IF(OR(E36="",W36=""),"",E36*W36)</f>
        <v/>
      </c>
      <c r="Y36" s="170" t="inlineStr">
        <is>
          <t>2026-09-10</t>
        </is>
      </c>
      <c r="Z36" s="175" t="inlineStr">
        <is>
          <t>NO PRICE</t>
        </is>
      </c>
      <c r="AA36" s="170" t="inlineStr">
        <is>
          <t>COMPARE / VERIFY CHECKOUT</t>
        </is>
      </c>
      <c r="AB36" s="170" t="inlineStr"/>
      <c r="AC36" s="44" t="inlineStr">
        <is>
          <t>https://audison.com/</t>
        </is>
      </c>
      <c r="AD36" s="170" t="inlineStr">
        <is>
          <t>ALTERNATIVE / HISTORICAL</t>
        </is>
      </c>
    </row>
    <row r="37" ht="48" customHeight="1">
      <c r="A37" s="170" t="inlineStr">
        <is>
          <t>C</t>
        </is>
      </c>
      <c r="B37" s="170" t="inlineStr">
        <is>
          <t>Audison AP TSL M4M</t>
        </is>
      </c>
      <c r="C37" s="170" t="inlineStr">
        <is>
          <t>Speaker</t>
        </is>
      </c>
      <c r="D37" s="170" t="inlineStr">
        <is>
          <t>NO</t>
        </is>
      </c>
      <c r="E37" s="170" t="n"/>
      <c r="F37" s="172" t="n"/>
      <c r="G37" s="52" t="n"/>
      <c r="H37" s="170" t="inlineStr">
        <is>
          <t>NO CURRENT INDEXED LOCAL OFFER FOUND</t>
        </is>
      </c>
      <c r="I37" s="170" t="inlineStr"/>
      <c r="J37" s="52" t="n"/>
      <c r="K37" s="170" t="inlineStr">
        <is>
          <t>NO CURRENT INDEXED LOCAL OFFER FOUND</t>
        </is>
      </c>
      <c r="L37" s="170" t="inlineStr"/>
      <c r="M37" s="52" t="n"/>
      <c r="N37" s="170" t="inlineStr">
        <is>
          <t>NO CURRENT INDEXED LOCAL OFFER FOUND</t>
        </is>
      </c>
      <c r="O37" s="170" t="inlineStr"/>
      <c r="P37" s="52" t="n"/>
      <c r="Q37" s="170" t="inlineStr">
        <is>
          <t>NO CURRENT INDEXED LOCAL OFFER FOUND</t>
        </is>
      </c>
      <c r="R37" s="170" t="inlineStr"/>
      <c r="S37" s="173">
        <f>IF(COUNT(G37,J37,M37,P37)=0,"",MIN(G37,J37,M37,P37))</f>
        <v/>
      </c>
      <c r="T37" s="174">
        <f>IF(S37="","",IF(G37=S37,"NL",IF(J37=S37,"DE",IF(M37=S37,"BE","FR"))))</f>
        <v/>
      </c>
      <c r="U37" s="173">
        <f>IF(COUNT(G37,J37,M37,P37)=0,"",AVERAGE(G37,J37,M37,P37))</f>
        <v/>
      </c>
      <c r="V37" s="174">
        <f>COUNT(G37,J37,M37,P37)</f>
        <v/>
      </c>
      <c r="W37" s="173">
        <f>IF(OR(F37="",S37=""),"",F37-S37)</f>
        <v/>
      </c>
      <c r="X37" s="173">
        <f>IF(OR(E37="",W37=""),"",E37*W37)</f>
        <v/>
      </c>
      <c r="Y37" s="170" t="inlineStr">
        <is>
          <t>2026-09-10</t>
        </is>
      </c>
      <c r="Z37" s="175" t="inlineStr">
        <is>
          <t>NO PRICE</t>
        </is>
      </c>
      <c r="AA37" s="170" t="inlineStr">
        <is>
          <t>COMPARE / VERIFY CHECKOUT</t>
        </is>
      </c>
      <c r="AB37" s="170" t="inlineStr">
        <is>
          <t>Current Audison Tesla pack is historical comparison and not treated as Highland-compatible without confirmation.</t>
        </is>
      </c>
      <c r="AC37" s="44" t="inlineStr">
        <is>
          <t>https://audison.com/</t>
        </is>
      </c>
      <c r="AD37" s="170" t="inlineStr">
        <is>
          <t>ALTERNATIVE / HISTORICAL</t>
        </is>
      </c>
    </row>
    <row r="38" ht="48" customHeight="1">
      <c r="A38" s="170" t="inlineStr">
        <is>
          <t>C</t>
        </is>
      </c>
      <c r="B38" s="170" t="inlineStr">
        <is>
          <t>Audison AP TSL X4M</t>
        </is>
      </c>
      <c r="C38" s="170" t="inlineStr">
        <is>
          <t>Speaker</t>
        </is>
      </c>
      <c r="D38" s="170" t="inlineStr">
        <is>
          <t>NO</t>
        </is>
      </c>
      <c r="E38" s="170" t="n"/>
      <c r="F38" s="172" t="n"/>
      <c r="G38" s="52" t="n"/>
      <c r="H38" s="170" t="inlineStr">
        <is>
          <t>NO CURRENT INDEXED LOCAL OFFER FOUND</t>
        </is>
      </c>
      <c r="I38" s="170" t="inlineStr"/>
      <c r="J38" s="52" t="n"/>
      <c r="K38" s="170" t="inlineStr">
        <is>
          <t>NO CURRENT INDEXED LOCAL OFFER FOUND</t>
        </is>
      </c>
      <c r="L38" s="170" t="inlineStr"/>
      <c r="M38" s="52" t="n"/>
      <c r="N38" s="170" t="inlineStr">
        <is>
          <t>NO CURRENT INDEXED LOCAL OFFER FOUND</t>
        </is>
      </c>
      <c r="O38" s="170" t="inlineStr"/>
      <c r="P38" s="52" t="n"/>
      <c r="Q38" s="170" t="inlineStr">
        <is>
          <t>NO CURRENT INDEXED LOCAL OFFER FOUND</t>
        </is>
      </c>
      <c r="R38" s="170" t="inlineStr"/>
      <c r="S38" s="173">
        <f>IF(COUNT(G38,J38,M38,P38)=0,"",MIN(G38,J38,M38,P38))</f>
        <v/>
      </c>
      <c r="T38" s="174">
        <f>IF(S38="","",IF(G38=S38,"NL",IF(J38=S38,"DE",IF(M38=S38,"BE","FR"))))</f>
        <v/>
      </c>
      <c r="U38" s="173">
        <f>IF(COUNT(G38,J38,M38,P38)=0,"",AVERAGE(G38,J38,M38,P38))</f>
        <v/>
      </c>
      <c r="V38" s="174">
        <f>COUNT(G38,J38,M38,P38)</f>
        <v/>
      </c>
      <c r="W38" s="173">
        <f>IF(OR(F38="",S38=""),"",F38-S38)</f>
        <v/>
      </c>
      <c r="X38" s="173">
        <f>IF(OR(E38="",W38=""),"",E38*W38)</f>
        <v/>
      </c>
      <c r="Y38" s="170" t="inlineStr">
        <is>
          <t>2026-09-10</t>
        </is>
      </c>
      <c r="Z38" s="175" t="inlineStr">
        <is>
          <t>NO PRICE</t>
        </is>
      </c>
      <c r="AA38" s="170" t="inlineStr">
        <is>
          <t>COMPARE / VERIFY CHECKOUT</t>
        </is>
      </c>
      <c r="AB38" s="170" t="inlineStr"/>
      <c r="AC38" s="44" t="inlineStr">
        <is>
          <t>https://audison.com/</t>
        </is>
      </c>
      <c r="AD38" s="170" t="inlineStr">
        <is>
          <t>ALTERNATIVE / HISTORICAL</t>
        </is>
      </c>
    </row>
    <row r="39" ht="48" customHeight="1">
      <c r="A39" s="170" t="inlineStr">
        <is>
          <t>C</t>
        </is>
      </c>
      <c r="B39" s="170" t="inlineStr">
        <is>
          <t>BOXMORE BXA M50 S3.1</t>
        </is>
      </c>
      <c r="C39" s="170" t="inlineStr">
        <is>
          <t>Speaker</t>
        </is>
      </c>
      <c r="D39" s="170" t="inlineStr">
        <is>
          <t>NO</t>
        </is>
      </c>
      <c r="E39" s="170" t="n"/>
      <c r="F39" s="172" t="n"/>
      <c r="G39" s="52" t="n">
        <v>149</v>
      </c>
      <c r="H39" s="170" t="inlineStr">
        <is>
          <t>HifiMotive</t>
        </is>
      </c>
      <c r="I39" s="44" t="inlineStr">
        <is>
          <t>https://www.caraudio.nl/assortiment/boxmore</t>
        </is>
      </c>
      <c r="J39" s="52" t="n"/>
      <c r="K39" s="170" t="inlineStr">
        <is>
          <t>NO CURRENT INDEXED LOCAL OFFER FOUND</t>
        </is>
      </c>
      <c r="L39" s="170" t="inlineStr"/>
      <c r="M39" s="52" t="n"/>
      <c r="N39" s="170" t="inlineStr">
        <is>
          <t>NO CURRENT INDEXED LOCAL OFFER FOUND</t>
        </is>
      </c>
      <c r="O39" s="170" t="inlineStr"/>
      <c r="P39" s="52" t="n"/>
      <c r="Q39" s="170" t="inlineStr">
        <is>
          <t>NO CURRENT INDEXED LOCAL OFFER FOUND</t>
        </is>
      </c>
      <c r="R39" s="170" t="inlineStr"/>
      <c r="S39" s="173">
        <f>IF(COUNT(G39,J39,M39,P39)=0,"",MIN(G39,J39,M39,P39))</f>
        <v/>
      </c>
      <c r="T39" s="174">
        <f>IF(S39="","",IF(G39=S39,"NL",IF(J39=S39,"DE",IF(M39=S39,"BE","FR"))))</f>
        <v/>
      </c>
      <c r="U39" s="173">
        <f>IF(COUNT(G39,J39,M39,P39)=0,"",AVERAGE(G39,J39,M39,P39))</f>
        <v/>
      </c>
      <c r="V39" s="174">
        <f>COUNT(G39,J39,M39,P39)</f>
        <v/>
      </c>
      <c r="W39" s="173">
        <f>IF(OR(F39="",S39=""),"",F39-S39)</f>
        <v/>
      </c>
      <c r="X39" s="173">
        <f>IF(OR(E39="",W39=""),"",E39*W39)</f>
        <v/>
      </c>
      <c r="Y39" s="170" t="inlineStr">
        <is>
          <t>2026-09-10</t>
        </is>
      </c>
      <c r="Z39" s="170" t="inlineStr">
        <is>
          <t>HIGH</t>
        </is>
      </c>
      <c r="AA39" s="170" t="inlineStr">
        <is>
          <t>COMPARE / VERIFY CHECKOUT</t>
        </is>
      </c>
      <c r="AB39" s="170" t="inlineStr"/>
      <c r="AC39" s="170" t="inlineStr"/>
      <c r="AD39" s="170" t="inlineStr">
        <is>
          <t>ALTERNATIVE / HISTORICAL</t>
        </is>
      </c>
    </row>
    <row r="40" ht="48" customHeight="1">
      <c r="A40" s="170" t="inlineStr">
        <is>
          <t>C</t>
        </is>
      </c>
      <c r="B40" s="170" t="inlineStr">
        <is>
          <t>BOXMORE BXA M80 S3.1</t>
        </is>
      </c>
      <c r="C40" s="170" t="inlineStr">
        <is>
          <t>Speaker</t>
        </is>
      </c>
      <c r="D40" s="170" t="inlineStr">
        <is>
          <t>NO</t>
        </is>
      </c>
      <c r="E40" s="170" t="n"/>
      <c r="F40" s="172" t="n"/>
      <c r="G40" s="52" t="n">
        <v>199</v>
      </c>
      <c r="H40" s="170" t="inlineStr">
        <is>
          <t>HifiMotive</t>
        </is>
      </c>
      <c r="I40" s="44" t="inlineStr">
        <is>
          <t>https://www.caraudio.nl/assortiment/boxmore</t>
        </is>
      </c>
      <c r="J40" s="52" t="n"/>
      <c r="K40" s="170" t="inlineStr">
        <is>
          <t>NO CURRENT INDEXED LOCAL OFFER FOUND</t>
        </is>
      </c>
      <c r="L40" s="170" t="inlineStr"/>
      <c r="M40" s="52" t="n"/>
      <c r="N40" s="170" t="inlineStr">
        <is>
          <t>NO CURRENT INDEXED LOCAL OFFER FOUND</t>
        </is>
      </c>
      <c r="O40" s="170" t="inlineStr"/>
      <c r="P40" s="52" t="n"/>
      <c r="Q40" s="170" t="inlineStr">
        <is>
          <t>NO CURRENT INDEXED LOCAL OFFER FOUND</t>
        </is>
      </c>
      <c r="R40" s="170" t="inlineStr"/>
      <c r="S40" s="173">
        <f>IF(COUNT(G40,J40,M40,P40)=0,"",MIN(G40,J40,M40,P40))</f>
        <v/>
      </c>
      <c r="T40" s="174">
        <f>IF(S40="","",IF(G40=S40,"NL",IF(J40=S40,"DE",IF(M40=S40,"BE","FR"))))</f>
        <v/>
      </c>
      <c r="U40" s="173">
        <f>IF(COUNT(G40,J40,M40,P40)=0,"",AVERAGE(G40,J40,M40,P40))</f>
        <v/>
      </c>
      <c r="V40" s="174">
        <f>COUNT(G40,J40,M40,P40)</f>
        <v/>
      </c>
      <c r="W40" s="173">
        <f>IF(OR(F40="",S40=""),"",F40-S40)</f>
        <v/>
      </c>
      <c r="X40" s="173">
        <f>IF(OR(E40="",W40=""),"",E40*W40)</f>
        <v/>
      </c>
      <c r="Y40" s="170" t="inlineStr">
        <is>
          <t>2026-09-10</t>
        </is>
      </c>
      <c r="Z40" s="170" t="inlineStr">
        <is>
          <t>HIGH</t>
        </is>
      </c>
      <c r="AA40" s="170" t="inlineStr">
        <is>
          <t>COMPARE / VERIFY CHECKOUT</t>
        </is>
      </c>
      <c r="AB40" s="170" t="inlineStr"/>
      <c r="AC40" s="170" t="inlineStr"/>
      <c r="AD40" s="170" t="inlineStr">
        <is>
          <t>ALTERNATIVE / HISTORICAL</t>
        </is>
      </c>
    </row>
    <row r="41" ht="48" customHeight="1">
      <c r="A41" s="170" t="inlineStr">
        <is>
          <t>C</t>
        </is>
      </c>
      <c r="B41" s="170" t="inlineStr">
        <is>
          <t>BOXMORE BXS M100FL S3.1</t>
        </is>
      </c>
      <c r="C41" s="170" t="inlineStr">
        <is>
          <t>Speaker</t>
        </is>
      </c>
      <c r="D41" s="170" t="inlineStr">
        <is>
          <t>NO</t>
        </is>
      </c>
      <c r="E41" s="170" t="n"/>
      <c r="F41" s="172" t="n"/>
      <c r="G41" s="52" t="n">
        <v>269</v>
      </c>
      <c r="H41" s="170" t="inlineStr">
        <is>
          <t>HifiMotive</t>
        </is>
      </c>
      <c r="I41" s="44" t="inlineStr">
        <is>
          <t>https://www.caraudio.nl/artikel/boxmore-bxs-m100fl-s3-1-100-mm-shallow-midrange-set-bxsm100fls3_1</t>
        </is>
      </c>
      <c r="J41" s="52" t="n"/>
      <c r="K41" s="170" t="inlineStr">
        <is>
          <t>NO CURRENT INDEXED LOCAL OFFER FOUND</t>
        </is>
      </c>
      <c r="L41" s="170" t="inlineStr"/>
      <c r="M41" s="52" t="n"/>
      <c r="N41" s="170" t="inlineStr">
        <is>
          <t>NO CURRENT INDEXED LOCAL OFFER FOUND</t>
        </is>
      </c>
      <c r="O41" s="170" t="inlineStr"/>
      <c r="P41" s="52" t="n"/>
      <c r="Q41" s="170" t="inlineStr">
        <is>
          <t>NO CURRENT INDEXED LOCAL OFFER FOUND</t>
        </is>
      </c>
      <c r="R41" s="170" t="inlineStr"/>
      <c r="S41" s="173">
        <f>IF(COUNT(G41,J41,M41,P41)=0,"",MIN(G41,J41,M41,P41))</f>
        <v/>
      </c>
      <c r="T41" s="174">
        <f>IF(S41="","",IF(G41=S41,"NL",IF(J41=S41,"DE",IF(M41=S41,"BE","FR"))))</f>
        <v/>
      </c>
      <c r="U41" s="173">
        <f>IF(COUNT(G41,J41,M41,P41)=0,"",AVERAGE(G41,J41,M41,P41))</f>
        <v/>
      </c>
      <c r="V41" s="174">
        <f>COUNT(G41,J41,M41,P41)</f>
        <v/>
      </c>
      <c r="W41" s="173">
        <f>IF(OR(F41="",S41=""),"",F41-S41)</f>
        <v/>
      </c>
      <c r="X41" s="173">
        <f>IF(OR(E41="",W41=""),"",E41*W41)</f>
        <v/>
      </c>
      <c r="Y41" s="170" t="inlineStr">
        <is>
          <t>2026-09-10</t>
        </is>
      </c>
      <c r="Z41" s="170" t="inlineStr">
        <is>
          <t>HIGH</t>
        </is>
      </c>
      <c r="AA41" s="170" t="inlineStr">
        <is>
          <t>COMPARE / VERIFY CHECKOUT</t>
        </is>
      </c>
      <c r="AB41" s="170" t="inlineStr"/>
      <c r="AC41" s="170" t="inlineStr"/>
      <c r="AD41" s="170" t="inlineStr">
        <is>
          <t>ALTERNATIVE / HISTORICAL</t>
        </is>
      </c>
    </row>
    <row r="42" ht="48" customHeight="1">
      <c r="A42" s="170" t="inlineStr">
        <is>
          <t>C</t>
        </is>
      </c>
      <c r="B42" s="170" t="inlineStr">
        <is>
          <t>BOXMORE BXS T20RC.1</t>
        </is>
      </c>
      <c r="C42" s="170" t="inlineStr">
        <is>
          <t>Tweeter</t>
        </is>
      </c>
      <c r="D42" s="170" t="inlineStr">
        <is>
          <t>NO</t>
        </is>
      </c>
      <c r="E42" s="170" t="n"/>
      <c r="F42" s="172" t="n"/>
      <c r="G42" s="52" t="n">
        <v>249</v>
      </c>
      <c r="H42" s="170" t="inlineStr">
        <is>
          <t>HifiMotive</t>
        </is>
      </c>
      <c r="I42" s="44" t="inlineStr">
        <is>
          <t>https://www.caraudio.nl/artikel/boxmore-bxs-t20rc-1-20-mm-soft-dome-tweeters-set-bxst20rc_1</t>
        </is>
      </c>
      <c r="J42" s="52" t="n"/>
      <c r="K42" s="170" t="inlineStr">
        <is>
          <t>NO CURRENT INDEXED LOCAL OFFER FOUND</t>
        </is>
      </c>
      <c r="L42" s="170" t="inlineStr"/>
      <c r="M42" s="52" t="n"/>
      <c r="N42" s="170" t="inlineStr">
        <is>
          <t>NO CURRENT INDEXED LOCAL OFFER FOUND</t>
        </is>
      </c>
      <c r="O42" s="170" t="inlineStr"/>
      <c r="P42" s="52" t="n"/>
      <c r="Q42" s="170" t="inlineStr">
        <is>
          <t>NO CURRENT INDEXED LOCAL OFFER FOUND</t>
        </is>
      </c>
      <c r="R42" s="170" t="inlineStr"/>
      <c r="S42" s="173">
        <f>IF(COUNT(G42,J42,M42,P42)=0,"",MIN(G42,J42,M42,P42))</f>
        <v/>
      </c>
      <c r="T42" s="174">
        <f>IF(S42="","",IF(G42=S42,"NL",IF(J42=S42,"DE",IF(M42=S42,"BE","FR"))))</f>
        <v/>
      </c>
      <c r="U42" s="173">
        <f>IF(COUNT(G42,J42,M42,P42)=0,"",AVERAGE(G42,J42,M42,P42))</f>
        <v/>
      </c>
      <c r="V42" s="174">
        <f>COUNT(G42,J42,M42,P42)</f>
        <v/>
      </c>
      <c r="W42" s="173">
        <f>IF(OR(F42="",S42=""),"",F42-S42)</f>
        <v/>
      </c>
      <c r="X42" s="173">
        <f>IF(OR(E42="",W42=""),"",E42*W42)</f>
        <v/>
      </c>
      <c r="Y42" s="170" t="inlineStr">
        <is>
          <t>2026-09-10</t>
        </is>
      </c>
      <c r="Z42" s="170" t="inlineStr">
        <is>
          <t>HIGH</t>
        </is>
      </c>
      <c r="AA42" s="170" t="inlineStr">
        <is>
          <t>COMPARE / VERIFY CHECKOUT</t>
        </is>
      </c>
      <c r="AB42" s="170" t="inlineStr"/>
      <c r="AC42" s="170" t="inlineStr"/>
      <c r="AD42" s="170" t="inlineStr">
        <is>
          <t>ALTERNATIVE / HISTORICAL</t>
        </is>
      </c>
    </row>
    <row r="43" ht="48" customHeight="1">
      <c r="A43" s="170" t="inlineStr">
        <is>
          <t>C</t>
        </is>
      </c>
      <c r="B43" s="170" t="inlineStr">
        <is>
          <t>BOXMORE BXS W200 S3.1</t>
        </is>
      </c>
      <c r="C43" s="170" t="inlineStr">
        <is>
          <t>Speaker</t>
        </is>
      </c>
      <c r="D43" s="170" t="inlineStr">
        <is>
          <t>NO</t>
        </is>
      </c>
      <c r="E43" s="170" t="n"/>
      <c r="F43" s="172" t="n"/>
      <c r="G43" s="52" t="n">
        <v>399</v>
      </c>
      <c r="H43" s="170" t="inlineStr">
        <is>
          <t>HifiMotive</t>
        </is>
      </c>
      <c r="I43" s="44" t="inlineStr">
        <is>
          <t>https://www.caraudio.nl/artikel/boxmore/boxmore-bxs-w200-s3-1-specialist-200-mm-woofer-set-bxsw200s3_1</t>
        </is>
      </c>
      <c r="J43" s="52" t="n"/>
      <c r="K43" s="170" t="inlineStr">
        <is>
          <t>NO CURRENT INDEXED LOCAL OFFER FOUND</t>
        </is>
      </c>
      <c r="L43" s="170" t="inlineStr"/>
      <c r="M43" s="52" t="n"/>
      <c r="N43" s="170" t="inlineStr">
        <is>
          <t>NO CURRENT INDEXED LOCAL OFFER FOUND</t>
        </is>
      </c>
      <c r="O43" s="170" t="inlineStr"/>
      <c r="P43" s="52" t="n"/>
      <c r="Q43" s="170" t="inlineStr">
        <is>
          <t>NO CURRENT INDEXED LOCAL OFFER FOUND</t>
        </is>
      </c>
      <c r="R43" s="170" t="inlineStr"/>
      <c r="S43" s="173">
        <f>IF(COUNT(G43,J43,M43,P43)=0,"",MIN(G43,J43,M43,P43))</f>
        <v/>
      </c>
      <c r="T43" s="174">
        <f>IF(S43="","",IF(G43=S43,"NL",IF(J43=S43,"DE",IF(M43=S43,"BE","FR"))))</f>
        <v/>
      </c>
      <c r="U43" s="173">
        <f>IF(COUNT(G43,J43,M43,P43)=0,"",AVERAGE(G43,J43,M43,P43))</f>
        <v/>
      </c>
      <c r="V43" s="174">
        <f>COUNT(G43,J43,M43,P43)</f>
        <v/>
      </c>
      <c r="W43" s="173">
        <f>IF(OR(F43="",S43=""),"",F43-S43)</f>
        <v/>
      </c>
      <c r="X43" s="173">
        <f>IF(OR(E43="",W43=""),"",E43*W43)</f>
        <v/>
      </c>
      <c r="Y43" s="170" t="inlineStr">
        <is>
          <t>2026-09-10</t>
        </is>
      </c>
      <c r="Z43" s="170" t="inlineStr">
        <is>
          <t>HIGH</t>
        </is>
      </c>
      <c r="AA43" s="170" t="inlineStr">
        <is>
          <t>COMPARE / VERIFY CHECKOUT</t>
        </is>
      </c>
      <c r="AB43" s="170" t="inlineStr"/>
      <c r="AC43" s="170" t="inlineStr"/>
      <c r="AD43" s="170" t="inlineStr">
        <is>
          <t>ALTERNATIVE / HISTORICAL</t>
        </is>
      </c>
    </row>
    <row r="44" ht="48" customHeight="1">
      <c r="A44" s="170" t="inlineStr">
        <is>
          <t>C</t>
        </is>
      </c>
      <c r="B44" s="170" t="inlineStr">
        <is>
          <t>DLS Cruise CRPP-TS1.4</t>
        </is>
      </c>
      <c r="C44" s="170" t="inlineStr">
        <is>
          <t>Speaker kit</t>
        </is>
      </c>
      <c r="D44" s="170" t="inlineStr">
        <is>
          <t>NO</t>
        </is>
      </c>
      <c r="E44" s="170" t="n"/>
      <c r="F44" s="172" t="n"/>
      <c r="G44" s="52" t="n">
        <v>299.95</v>
      </c>
      <c r="H44" s="170" t="inlineStr">
        <is>
          <t>MB Car Audio</t>
        </is>
      </c>
      <c r="I44" s="44" t="inlineStr">
        <is>
          <t>https://mbcaraudio.nl/autospecifieke-producten/tesla-autospecifieke-producten-en-accessoires/automodel-typenummer-en-bouwjaar-selectie-tesla/tesla-model-3-facelift-bouwjaar-2023-</t>
        </is>
      </c>
      <c r="J44" s="52" t="n"/>
      <c r="K44" s="170" t="inlineStr">
        <is>
          <t>NO CURRENT INDEXED LOCAL OFFER FOUND</t>
        </is>
      </c>
      <c r="L44" s="170" t="inlineStr"/>
      <c r="M44" s="52" t="n"/>
      <c r="N44" s="170" t="inlineStr">
        <is>
          <t>NO CURRENT INDEXED LOCAL OFFER FOUND</t>
        </is>
      </c>
      <c r="O44" s="170" t="inlineStr"/>
      <c r="P44" s="52" t="n"/>
      <c r="Q44" s="170" t="inlineStr">
        <is>
          <t>NO CURRENT INDEXED LOCAL OFFER FOUND</t>
        </is>
      </c>
      <c r="R44" s="170" t="inlineStr"/>
      <c r="S44" s="173">
        <f>IF(COUNT(G44,J44,M44,P44)=0,"",MIN(G44,J44,M44,P44))</f>
        <v/>
      </c>
      <c r="T44" s="174">
        <f>IF(S44="","",IF(G44=S44,"NL",IF(J44=S44,"DE",IF(M44=S44,"BE","FR"))))</f>
        <v/>
      </c>
      <c r="U44" s="173">
        <f>IF(COUNT(G44,J44,M44,P44)=0,"",AVERAGE(G44,J44,M44,P44))</f>
        <v/>
      </c>
      <c r="V44" s="174">
        <f>COUNT(G44,J44,M44,P44)</f>
        <v/>
      </c>
      <c r="W44" s="173">
        <f>IF(OR(F44="",S44=""),"",F44-S44)</f>
        <v/>
      </c>
      <c r="X44" s="173">
        <f>IF(OR(E44="",W44=""),"",E44*W44)</f>
        <v/>
      </c>
      <c r="Y44" s="170" t="inlineStr">
        <is>
          <t>2026-09-10</t>
        </is>
      </c>
      <c r="Z44" s="170" t="inlineStr">
        <is>
          <t>MEDIUM</t>
        </is>
      </c>
      <c r="AA44" s="170" t="inlineStr">
        <is>
          <t>COMPARE / VERIFY CHECKOUT</t>
        </is>
      </c>
      <c r="AB44" s="170" t="inlineStr"/>
      <c r="AC44" s="44" t="inlineStr">
        <is>
          <t>https://dls.se/</t>
        </is>
      </c>
      <c r="AD44" s="170" t="inlineStr">
        <is>
          <t>ALTERNATIVE / HISTORICAL</t>
        </is>
      </c>
    </row>
    <row r="45" ht="48" customHeight="1">
      <c r="A45" s="170" t="inlineStr">
        <is>
          <t>C</t>
        </is>
      </c>
      <c r="B45" s="170" t="inlineStr">
        <is>
          <t>DLS Cruise CRPP-TSW.8</t>
        </is>
      </c>
      <c r="C45" s="170" t="inlineStr">
        <is>
          <t>Woofer kit</t>
        </is>
      </c>
      <c r="D45" s="170" t="inlineStr">
        <is>
          <t>NO</t>
        </is>
      </c>
      <c r="E45" s="170" t="n"/>
      <c r="F45" s="172" t="n"/>
      <c r="G45" s="52" t="n">
        <v>299.95</v>
      </c>
      <c r="H45" s="170" t="inlineStr">
        <is>
          <t>MB Car Audio</t>
        </is>
      </c>
      <c r="I45" s="44" t="inlineStr">
        <is>
          <t>https://mbcaraudio.nl/autospecifieke-producten/tesla-autospecifieke-producten-en-accessoires/automodel-typenummer-en-bouwjaar-selectie-tesla/tesla-model-3-facelift-bouwjaar-2023-</t>
        </is>
      </c>
      <c r="J45" s="52" t="n"/>
      <c r="K45" s="170" t="inlineStr">
        <is>
          <t>NO CURRENT INDEXED LOCAL OFFER FOUND</t>
        </is>
      </c>
      <c r="L45" s="170" t="inlineStr"/>
      <c r="M45" s="52" t="n"/>
      <c r="N45" s="170" t="inlineStr">
        <is>
          <t>NO CURRENT INDEXED LOCAL OFFER FOUND</t>
        </is>
      </c>
      <c r="O45" s="170" t="inlineStr"/>
      <c r="P45" s="52" t="n"/>
      <c r="Q45" s="170" t="inlineStr">
        <is>
          <t>NO CURRENT INDEXED LOCAL OFFER FOUND</t>
        </is>
      </c>
      <c r="R45" s="170" t="inlineStr"/>
      <c r="S45" s="173">
        <f>IF(COUNT(G45,J45,M45,P45)=0,"",MIN(G45,J45,M45,P45))</f>
        <v/>
      </c>
      <c r="T45" s="174">
        <f>IF(S45="","",IF(G45=S45,"NL",IF(J45=S45,"DE",IF(M45=S45,"BE","FR"))))</f>
        <v/>
      </c>
      <c r="U45" s="173">
        <f>IF(COUNT(G45,J45,M45,P45)=0,"",AVERAGE(G45,J45,M45,P45))</f>
        <v/>
      </c>
      <c r="V45" s="174">
        <f>COUNT(G45,J45,M45,P45)</f>
        <v/>
      </c>
      <c r="W45" s="173">
        <f>IF(OR(F45="",S45=""),"",F45-S45)</f>
        <v/>
      </c>
      <c r="X45" s="173">
        <f>IF(OR(E45="",W45=""),"",E45*W45)</f>
        <v/>
      </c>
      <c r="Y45" s="170" t="inlineStr">
        <is>
          <t>2026-09-10</t>
        </is>
      </c>
      <c r="Z45" s="170" t="inlineStr">
        <is>
          <t>MEDIUM</t>
        </is>
      </c>
      <c r="AA45" s="170" t="inlineStr">
        <is>
          <t>COMPARE / VERIFY CHECKOUT</t>
        </is>
      </c>
      <c r="AB45" s="170" t="inlineStr"/>
      <c r="AC45" s="44" t="inlineStr">
        <is>
          <t>https://dls.se/</t>
        </is>
      </c>
      <c r="AD45" s="170" t="inlineStr">
        <is>
          <t>ALTERNATIVE / HISTORICAL</t>
        </is>
      </c>
    </row>
    <row r="46" ht="48" customHeight="1">
      <c r="A46" s="170" t="inlineStr">
        <is>
          <t>C</t>
        </is>
      </c>
      <c r="B46" s="170" t="inlineStr">
        <is>
          <t>ESX QXE8.2W</t>
        </is>
      </c>
      <c r="C46" s="170" t="inlineStr">
        <is>
          <t>Woofer</t>
        </is>
      </c>
      <c r="D46" s="170" t="inlineStr">
        <is>
          <t>NO</t>
        </is>
      </c>
      <c r="E46" s="170" t="n"/>
      <c r="F46" s="172" t="n"/>
      <c r="G46" s="52" t="n"/>
      <c r="H46" s="170" t="inlineStr">
        <is>
          <t>NO CURRENT INDEXED LOCAL OFFER FOUND</t>
        </is>
      </c>
      <c r="I46" s="170" t="inlineStr"/>
      <c r="J46" s="52" t="n">
        <v>179.1</v>
      </c>
      <c r="K46" s="170" t="inlineStr">
        <is>
          <t>Idealo DE</t>
        </is>
      </c>
      <c r="L46" s="44" t="inlineStr">
        <is>
          <t>https://www.idealo.de/</t>
        </is>
      </c>
      <c r="M46" s="52" t="n"/>
      <c r="N46" s="170" t="inlineStr">
        <is>
          <t>NO CURRENT INDEXED LOCAL OFFER FOUND</t>
        </is>
      </c>
      <c r="O46" s="170" t="inlineStr"/>
      <c r="P46" s="52" t="n"/>
      <c r="Q46" s="170" t="inlineStr">
        <is>
          <t>NO CURRENT INDEXED LOCAL OFFER FOUND</t>
        </is>
      </c>
      <c r="R46" s="170" t="inlineStr"/>
      <c r="S46" s="173">
        <f>IF(COUNT(G46,J46,M46,P46)=0,"",MIN(G46,J46,M46,P46))</f>
        <v/>
      </c>
      <c r="T46" s="174">
        <f>IF(S46="","",IF(G46=S46,"NL",IF(J46=S46,"DE",IF(M46=S46,"BE","FR"))))</f>
        <v/>
      </c>
      <c r="U46" s="173">
        <f>IF(COUNT(G46,J46,M46,P46)=0,"",AVERAGE(G46,J46,M46,P46))</f>
        <v/>
      </c>
      <c r="V46" s="174">
        <f>COUNT(G46,J46,M46,P46)</f>
        <v/>
      </c>
      <c r="W46" s="173">
        <f>IF(OR(F46="",S46=""),"",F46-S46)</f>
        <v/>
      </c>
      <c r="X46" s="173">
        <f>IF(OR(E46="",W46=""),"",E46*W46)</f>
        <v/>
      </c>
      <c r="Y46" s="170" t="inlineStr">
        <is>
          <t>2026-09-10</t>
        </is>
      </c>
      <c r="Z46" s="170" t="inlineStr">
        <is>
          <t>MEDIUM</t>
        </is>
      </c>
      <c r="AA46" s="170" t="inlineStr">
        <is>
          <t>COMPARE / VERIFY CHECKOUT</t>
        </is>
      </c>
      <c r="AB46" s="170" t="inlineStr"/>
      <c r="AC46" s="44" t="inlineStr">
        <is>
          <t>https://www.esxaudio.de/english/</t>
        </is>
      </c>
      <c r="AD46" s="170" t="inlineStr">
        <is>
          <t>ALTERNATIVE / HISTORICAL</t>
        </is>
      </c>
    </row>
    <row r="47" ht="48" customHeight="1">
      <c r="A47" s="170" t="inlineStr">
        <is>
          <t>C</t>
        </is>
      </c>
      <c r="B47" s="170" t="inlineStr">
        <is>
          <t>ESX TES3YSET2</t>
        </is>
      </c>
      <c r="C47" s="170" t="inlineStr">
        <is>
          <t>Tesla speaker kit</t>
        </is>
      </c>
      <c r="D47" s="170" t="inlineStr">
        <is>
          <t>NO</t>
        </is>
      </c>
      <c r="E47" s="170" t="n"/>
      <c r="F47" s="172" t="n"/>
      <c r="G47" s="52" t="n"/>
      <c r="H47" s="170" t="inlineStr">
        <is>
          <t>NO CURRENT INDEXED LOCAL OFFER FOUND</t>
        </is>
      </c>
      <c r="I47" s="170" t="inlineStr"/>
      <c r="J47" s="52" t="n">
        <v>1199</v>
      </c>
      <c r="K47" s="170" t="inlineStr">
        <is>
          <t>DE current comparison</t>
        </is>
      </c>
      <c r="L47" s="44" t="inlineStr">
        <is>
          <t>https://www.esxaudio.de/english/tes3yset2.html</t>
        </is>
      </c>
      <c r="M47" s="52" t="n"/>
      <c r="N47" s="170" t="inlineStr">
        <is>
          <t>NO CURRENT INDEXED LOCAL OFFER FOUND</t>
        </is>
      </c>
      <c r="O47" s="170" t="inlineStr"/>
      <c r="P47" s="52" t="n"/>
      <c r="Q47" s="170" t="inlineStr">
        <is>
          <t>NO CURRENT INDEXED LOCAL OFFER FOUND</t>
        </is>
      </c>
      <c r="R47" s="170" t="inlineStr"/>
      <c r="S47" s="173">
        <f>IF(COUNT(G47,J47,M47,P47)=0,"",MIN(G47,J47,M47,P47))</f>
        <v/>
      </c>
      <c r="T47" s="174">
        <f>IF(S47="","",IF(G47=S47,"NL",IF(J47=S47,"DE",IF(M47=S47,"BE","FR"))))</f>
        <v/>
      </c>
      <c r="U47" s="173">
        <f>IF(COUNT(G47,J47,M47,P47)=0,"",AVERAGE(G47,J47,M47,P47))</f>
        <v/>
      </c>
      <c r="V47" s="174">
        <f>COUNT(G47,J47,M47,P47)</f>
        <v/>
      </c>
      <c r="W47" s="173">
        <f>IF(OR(F47="",S47=""),"",F47-S47)</f>
        <v/>
      </c>
      <c r="X47" s="173">
        <f>IF(OR(E47="",W47=""),"",E47*W47)</f>
        <v/>
      </c>
      <c r="Y47" s="170" t="inlineStr">
        <is>
          <t>2026-09-10</t>
        </is>
      </c>
      <c r="Z47" s="170" t="inlineStr">
        <is>
          <t>MEDIUM</t>
        </is>
      </c>
      <c r="AA47" s="170" t="inlineStr">
        <is>
          <t>COMPARE / VERIFY CHECKOUT</t>
        </is>
      </c>
      <c r="AB47" s="170" t="inlineStr"/>
      <c r="AC47" s="44" t="inlineStr">
        <is>
          <t>https://www.esxaudio.de/english/</t>
        </is>
      </c>
      <c r="AD47" s="170" t="inlineStr">
        <is>
          <t>ALTERNATIVE / HISTORICAL</t>
        </is>
      </c>
    </row>
    <row r="48" ht="48" customHeight="1">
      <c r="A48" s="170" t="inlineStr">
        <is>
          <t>C</t>
        </is>
      </c>
      <c r="B48" s="170" t="inlineStr">
        <is>
          <t>ESX VXP3M</t>
        </is>
      </c>
      <c r="C48" s="170" t="inlineStr">
        <is>
          <t>Speaker</t>
        </is>
      </c>
      <c r="D48" s="170" t="inlineStr">
        <is>
          <t>NO</t>
        </is>
      </c>
      <c r="E48" s="170" t="n"/>
      <c r="F48" s="172" t="n"/>
      <c r="G48" s="52" t="n"/>
      <c r="H48" s="170" t="inlineStr">
        <is>
          <t>NO CURRENT INDEXED LOCAL OFFER FOUND</t>
        </is>
      </c>
      <c r="I48" s="170" t="inlineStr"/>
      <c r="J48" s="52" t="n">
        <v>249</v>
      </c>
      <c r="K48" s="170" t="inlineStr">
        <is>
          <t>DE current retail benchmark</t>
        </is>
      </c>
      <c r="L48" s="44" t="inlineStr">
        <is>
          <t>https://www.esxaudio.de/</t>
        </is>
      </c>
      <c r="M48" s="52" t="n"/>
      <c r="N48" s="170" t="inlineStr">
        <is>
          <t>NO CURRENT INDEXED LOCAL OFFER FOUND</t>
        </is>
      </c>
      <c r="O48" s="170" t="inlineStr"/>
      <c r="P48" s="52" t="n"/>
      <c r="Q48" s="170" t="inlineStr">
        <is>
          <t>NO CURRENT INDEXED LOCAL OFFER FOUND</t>
        </is>
      </c>
      <c r="R48" s="170" t="inlineStr"/>
      <c r="S48" s="173">
        <f>IF(COUNT(G48,J48,M48,P48)=0,"",MIN(G48,J48,M48,P48))</f>
        <v/>
      </c>
      <c r="T48" s="174">
        <f>IF(S48="","",IF(G48=S48,"NL",IF(J48=S48,"DE",IF(M48=S48,"BE","FR"))))</f>
        <v/>
      </c>
      <c r="U48" s="173">
        <f>IF(COUNT(G48,J48,M48,P48)=0,"",AVERAGE(G48,J48,M48,P48))</f>
        <v/>
      </c>
      <c r="V48" s="174">
        <f>COUNT(G48,J48,M48,P48)</f>
        <v/>
      </c>
      <c r="W48" s="173">
        <f>IF(OR(F48="",S48=""),"",F48-S48)</f>
        <v/>
      </c>
      <c r="X48" s="173">
        <f>IF(OR(E48="",W48=""),"",E48*W48)</f>
        <v/>
      </c>
      <c r="Y48" s="170" t="inlineStr">
        <is>
          <t>2026-09-10</t>
        </is>
      </c>
      <c r="Z48" s="170" t="inlineStr">
        <is>
          <t>MEDIUM</t>
        </is>
      </c>
      <c r="AA48" s="170" t="inlineStr">
        <is>
          <t>COMPARE / VERIFY CHECKOUT</t>
        </is>
      </c>
      <c r="AB48" s="170" t="inlineStr"/>
      <c r="AC48" s="44" t="inlineStr">
        <is>
          <t>https://www.esxaudio.de/english/</t>
        </is>
      </c>
      <c r="AD48" s="170" t="inlineStr">
        <is>
          <t>ALTERNATIVE / HISTORICAL</t>
        </is>
      </c>
    </row>
    <row r="49" ht="48" customHeight="1">
      <c r="A49" s="170" t="inlineStr">
        <is>
          <t>C</t>
        </is>
      </c>
      <c r="B49" s="170" t="inlineStr">
        <is>
          <t>Focal 3 KM</t>
        </is>
      </c>
      <c r="C49" s="170" t="inlineStr">
        <is>
          <t>Speaker</t>
        </is>
      </c>
      <c r="D49" s="170" t="inlineStr">
        <is>
          <t>NO</t>
        </is>
      </c>
      <c r="E49" s="170" t="n"/>
      <c r="F49" s="172" t="n"/>
      <c r="G49" s="52" t="n">
        <v>319</v>
      </c>
      <c r="H49" s="170" t="inlineStr">
        <is>
          <t>MB Car Audio</t>
        </is>
      </c>
      <c r="I49" s="44" t="inlineStr">
        <is>
          <t>https://mbcaraudio.nl/car-audio-producten/speakers-acc/87-cm-</t>
        </is>
      </c>
      <c r="J49" s="52" t="n"/>
      <c r="K49" s="170" t="inlineStr">
        <is>
          <t>NO CURRENT INDEXED LOCAL OFFER FOUND</t>
        </is>
      </c>
      <c r="L49" s="170" t="inlineStr"/>
      <c r="M49" s="52" t="n"/>
      <c r="N49" s="170" t="inlineStr">
        <is>
          <t>NO CURRENT INDEXED LOCAL OFFER FOUND</t>
        </is>
      </c>
      <c r="O49" s="170" t="inlineStr"/>
      <c r="P49" s="52" t="n"/>
      <c r="Q49" s="170" t="inlineStr">
        <is>
          <t>NO CURRENT INDEXED LOCAL OFFER FOUND</t>
        </is>
      </c>
      <c r="R49" s="170" t="inlineStr"/>
      <c r="S49" s="173">
        <f>IF(COUNT(G49,J49,M49,P49)=0,"",MIN(G49,J49,M49,P49))</f>
        <v/>
      </c>
      <c r="T49" s="174">
        <f>IF(S49="","",IF(G49=S49,"NL",IF(J49=S49,"DE",IF(M49=S49,"BE","FR"))))</f>
        <v/>
      </c>
      <c r="U49" s="173">
        <f>IF(COUNT(G49,J49,M49,P49)=0,"",AVERAGE(G49,J49,M49,P49))</f>
        <v/>
      </c>
      <c r="V49" s="174">
        <f>COUNT(G49,J49,M49,P49)</f>
        <v/>
      </c>
      <c r="W49" s="173">
        <f>IF(OR(F49="",S49=""),"",F49-S49)</f>
        <v/>
      </c>
      <c r="X49" s="173">
        <f>IF(OR(E49="",W49=""),"",E49*W49)</f>
        <v/>
      </c>
      <c r="Y49" s="170" t="inlineStr">
        <is>
          <t>2026-09-10</t>
        </is>
      </c>
      <c r="Z49" s="170" t="inlineStr">
        <is>
          <t>HIGH</t>
        </is>
      </c>
      <c r="AA49" s="170" t="inlineStr">
        <is>
          <t>COMPARE / VERIFY CHECKOUT</t>
        </is>
      </c>
      <c r="AB49" s="170" t="inlineStr"/>
      <c r="AC49" s="44" t="inlineStr">
        <is>
          <t>https://www.focal.com/products/3-km</t>
        </is>
      </c>
      <c r="AD49" s="170" t="inlineStr">
        <is>
          <t>ALTERNATIVE / HISTORICAL</t>
        </is>
      </c>
    </row>
    <row r="50" ht="48" customHeight="1">
      <c r="A50" s="170" t="inlineStr">
        <is>
          <t>C</t>
        </is>
      </c>
      <c r="B50" s="170" t="inlineStr">
        <is>
          <t>GLADEN GAMMA GM80</t>
        </is>
      </c>
      <c r="C50" s="170" t="inlineStr">
        <is>
          <t>Speaker</t>
        </is>
      </c>
      <c r="D50" s="170" t="inlineStr">
        <is>
          <t>NO</t>
        </is>
      </c>
      <c r="E50" s="170" t="n"/>
      <c r="F50" s="172" t="n"/>
      <c r="G50" s="52" t="n">
        <v>169</v>
      </c>
      <c r="H50" s="170" t="inlineStr">
        <is>
          <t>NL current benchmark</t>
        </is>
      </c>
      <c r="I50" s="44" t="inlineStr">
        <is>
          <t>https://mbcaraudio.nl/car-audio-producten/speakers-acc/87-cm-</t>
        </is>
      </c>
      <c r="J50" s="52" t="n"/>
      <c r="K50" s="170" t="inlineStr">
        <is>
          <t>NO CURRENT INDEXED LOCAL OFFER FOUND</t>
        </is>
      </c>
      <c r="L50" s="170" t="inlineStr"/>
      <c r="M50" s="52" t="n"/>
      <c r="N50" s="170" t="inlineStr">
        <is>
          <t>NO CURRENT INDEXED LOCAL OFFER FOUND</t>
        </is>
      </c>
      <c r="O50" s="170" t="inlineStr"/>
      <c r="P50" s="52" t="n"/>
      <c r="Q50" s="170" t="inlineStr">
        <is>
          <t>NO CURRENT INDEXED LOCAL OFFER FOUND</t>
        </is>
      </c>
      <c r="R50" s="170" t="inlineStr"/>
      <c r="S50" s="173">
        <f>IF(COUNT(G50,J50,M50,P50)=0,"",MIN(G50,J50,M50,P50))</f>
        <v/>
      </c>
      <c r="T50" s="174">
        <f>IF(S50="","",IF(G50=S50,"NL",IF(J50=S50,"DE",IF(M50=S50,"BE","FR"))))</f>
        <v/>
      </c>
      <c r="U50" s="173">
        <f>IF(COUNT(G50,J50,M50,P50)=0,"",AVERAGE(G50,J50,M50,P50))</f>
        <v/>
      </c>
      <c r="V50" s="174">
        <f>COUNT(G50,J50,M50,P50)</f>
        <v/>
      </c>
      <c r="W50" s="173">
        <f>IF(OR(F50="",S50=""),"",F50-S50)</f>
        <v/>
      </c>
      <c r="X50" s="173">
        <f>IF(OR(E50="",W50=""),"",E50*W50)</f>
        <v/>
      </c>
      <c r="Y50" s="170" t="inlineStr">
        <is>
          <t>2026-09-10</t>
        </is>
      </c>
      <c r="Z50" s="170" t="inlineStr">
        <is>
          <t>MEDIUM</t>
        </is>
      </c>
      <c r="AA50" s="170" t="inlineStr">
        <is>
          <t>COMPARE / VERIFY CHECKOUT</t>
        </is>
      </c>
      <c r="AB50" s="170" t="inlineStr"/>
      <c r="AC50" s="170" t="inlineStr"/>
      <c r="AD50" s="170" t="inlineStr">
        <is>
          <t>ALTERNATIVE / HISTORICAL</t>
        </is>
      </c>
    </row>
    <row r="51" ht="48" customHeight="1">
      <c r="A51" s="170" t="inlineStr">
        <is>
          <t>C</t>
        </is>
      </c>
      <c r="B51" s="170" t="inlineStr">
        <is>
          <t>Ground Zero GZRM 80SQ</t>
        </is>
      </c>
      <c r="C51" s="170" t="inlineStr">
        <is>
          <t>Speaker</t>
        </is>
      </c>
      <c r="D51" s="170" t="inlineStr">
        <is>
          <t>NO</t>
        </is>
      </c>
      <c r="E51" s="170" t="n"/>
      <c r="F51" s="172" t="n"/>
      <c r="G51" s="52" t="n"/>
      <c r="H51" s="170" t="inlineStr">
        <is>
          <t>NO CURRENT INDEXED LOCAL OFFER FOUND</t>
        </is>
      </c>
      <c r="I51" s="170" t="inlineStr"/>
      <c r="J51" s="52" t="n">
        <v>179</v>
      </c>
      <c r="K51" s="170" t="inlineStr">
        <is>
          <t>MediaMarkt marketplace / ACR Bielefeld</t>
        </is>
      </c>
      <c r="L51" s="44" t="inlineStr">
        <is>
          <t>https://www.mediamarkt.de/de/product/_ground-zero-gzrm-80sq-autolautsprecher-151306218.html</t>
        </is>
      </c>
      <c r="M51" s="52" t="n"/>
      <c r="N51" s="170" t="inlineStr">
        <is>
          <t>NO CURRENT INDEXED LOCAL OFFER FOUND</t>
        </is>
      </c>
      <c r="O51" s="170" t="inlineStr"/>
      <c r="P51" s="52" t="n"/>
      <c r="Q51" s="170" t="inlineStr">
        <is>
          <t>NO CURRENT INDEXED LOCAL OFFER FOUND</t>
        </is>
      </c>
      <c r="R51" s="170" t="inlineStr"/>
      <c r="S51" s="173">
        <f>IF(COUNT(G51,J51,M51,P51)=0,"",MIN(G51,J51,M51,P51))</f>
        <v/>
      </c>
      <c r="T51" s="174">
        <f>IF(S51="","",IF(G51=S51,"NL",IF(J51=S51,"DE",IF(M51=S51,"BE","FR"))))</f>
        <v/>
      </c>
      <c r="U51" s="173">
        <f>IF(COUNT(G51,J51,M51,P51)=0,"",AVERAGE(G51,J51,M51,P51))</f>
        <v/>
      </c>
      <c r="V51" s="174">
        <f>COUNT(G51,J51,M51,P51)</f>
        <v/>
      </c>
      <c r="W51" s="173">
        <f>IF(OR(F51="",S51=""),"",F51-S51)</f>
        <v/>
      </c>
      <c r="X51" s="173">
        <f>IF(OR(E51="",W51=""),"",E51*W51)</f>
        <v/>
      </c>
      <c r="Y51" s="170" t="inlineStr">
        <is>
          <t>2026-09-10</t>
        </is>
      </c>
      <c r="Z51" s="170" t="inlineStr">
        <is>
          <t>MEDIUM</t>
        </is>
      </c>
      <c r="AA51" s="170" t="inlineStr">
        <is>
          <t>COMPARE / VERIFY CHECKOUT</t>
        </is>
      </c>
      <c r="AB51" s="170" t="inlineStr"/>
      <c r="AC51" s="170" t="inlineStr"/>
      <c r="AD51" s="170" t="inlineStr">
        <is>
          <t>ALTERNATIVE / HISTORICAL</t>
        </is>
      </c>
    </row>
    <row r="52" ht="48" customHeight="1">
      <c r="A52" s="170" t="inlineStr">
        <is>
          <t>C</t>
        </is>
      </c>
      <c r="B52" s="170" t="inlineStr">
        <is>
          <t>Ground Zero GZUF 60SQ-A</t>
        </is>
      </c>
      <c r="C52" s="170" t="inlineStr">
        <is>
          <t>Speaker</t>
        </is>
      </c>
      <c r="D52" s="170" t="inlineStr">
        <is>
          <t>NO</t>
        </is>
      </c>
      <c r="E52" s="170" t="n"/>
      <c r="F52" s="172" t="n"/>
      <c r="G52" s="52" t="n">
        <v>174.95</v>
      </c>
      <c r="H52" s="170" t="inlineStr">
        <is>
          <t>MB Car Audio</t>
        </is>
      </c>
      <c r="I52" s="44" t="inlineStr">
        <is>
          <t>https://mbcaraudio.nl/87-cm-/ground-zero-gzuf-60sq-a.html</t>
        </is>
      </c>
      <c r="J52" s="52" t="n"/>
      <c r="K52" s="170" t="inlineStr">
        <is>
          <t>NO CURRENT INDEXED LOCAL OFFER FOUND</t>
        </is>
      </c>
      <c r="L52" s="170" t="inlineStr"/>
      <c r="M52" s="52" t="n"/>
      <c r="N52" s="170" t="inlineStr">
        <is>
          <t>NO CURRENT INDEXED LOCAL OFFER FOUND</t>
        </is>
      </c>
      <c r="O52" s="170" t="inlineStr"/>
      <c r="P52" s="52" t="n"/>
      <c r="Q52" s="170" t="inlineStr">
        <is>
          <t>NO CURRENT INDEXED LOCAL OFFER FOUND</t>
        </is>
      </c>
      <c r="R52" s="170" t="inlineStr"/>
      <c r="S52" s="173">
        <f>IF(COUNT(G52,J52,M52,P52)=0,"",MIN(G52,J52,M52,P52))</f>
        <v/>
      </c>
      <c r="T52" s="174">
        <f>IF(S52="","",IF(G52=S52,"NL",IF(J52=S52,"DE",IF(M52=S52,"BE","FR"))))</f>
        <v/>
      </c>
      <c r="U52" s="173">
        <f>IF(COUNT(G52,J52,M52,P52)=0,"",AVERAGE(G52,J52,M52,P52))</f>
        <v/>
      </c>
      <c r="V52" s="174">
        <f>COUNT(G52,J52,M52,P52)</f>
        <v/>
      </c>
      <c r="W52" s="173">
        <f>IF(OR(F52="",S52=""),"",F52-S52)</f>
        <v/>
      </c>
      <c r="X52" s="173">
        <f>IF(OR(E52="",W52=""),"",E52*W52)</f>
        <v/>
      </c>
      <c r="Y52" s="170" t="inlineStr">
        <is>
          <t>2026-09-10</t>
        </is>
      </c>
      <c r="Z52" s="170" t="inlineStr">
        <is>
          <t>HIGH</t>
        </is>
      </c>
      <c r="AA52" s="170" t="inlineStr">
        <is>
          <t>COMPARE / VERIFY CHECKOUT</t>
        </is>
      </c>
      <c r="AB52" s="170" t="inlineStr"/>
      <c r="AC52" s="170" t="inlineStr"/>
      <c r="AD52" s="170" t="inlineStr">
        <is>
          <t>ALTERNATIVE / HISTORICAL</t>
        </is>
      </c>
    </row>
    <row r="53" ht="48" customHeight="1">
      <c r="A53" s="170" t="inlineStr">
        <is>
          <t>C</t>
        </is>
      </c>
      <c r="B53" s="170" t="inlineStr">
        <is>
          <t>HELIX CFMK80-100</t>
        </is>
      </c>
      <c r="C53" s="170" t="inlineStr">
        <is>
          <t>Adapter</t>
        </is>
      </c>
      <c r="D53" s="170" t="inlineStr">
        <is>
          <t>NO</t>
        </is>
      </c>
      <c r="E53" s="170" t="n"/>
      <c r="F53" s="172" t="n"/>
      <c r="G53" s="52" t="n"/>
      <c r="H53" s="170" t="inlineStr">
        <is>
          <t>NO CURRENT INDEXED LOCAL OFFER FOUND</t>
        </is>
      </c>
      <c r="I53" s="170" t="inlineStr"/>
      <c r="J53" s="52" t="n"/>
      <c r="K53" s="170" t="inlineStr">
        <is>
          <t>NO CURRENT INDEXED LOCAL OFFER FOUND</t>
        </is>
      </c>
      <c r="L53" s="170" t="inlineStr"/>
      <c r="M53" s="52" t="n"/>
      <c r="N53" s="170" t="inlineStr">
        <is>
          <t>NO CURRENT INDEXED LOCAL OFFER FOUND</t>
        </is>
      </c>
      <c r="O53" s="170" t="inlineStr"/>
      <c r="P53" s="52" t="n"/>
      <c r="Q53" s="170" t="inlineStr">
        <is>
          <t>NO CURRENT INDEXED LOCAL OFFER FOUND</t>
        </is>
      </c>
      <c r="R53" s="170" t="inlineStr"/>
      <c r="S53" s="173">
        <f>IF(COUNT(G53,J53,M53,P53)=0,"",MIN(G53,J53,M53,P53))</f>
        <v/>
      </c>
      <c r="T53" s="174">
        <f>IF(S53="","",IF(G53=S53,"NL",IF(J53=S53,"DE",IF(M53=S53,"BE","FR"))))</f>
        <v/>
      </c>
      <c r="U53" s="173">
        <f>IF(COUNT(G53,J53,M53,P53)=0,"",AVERAGE(G53,J53,M53,P53))</f>
        <v/>
      </c>
      <c r="V53" s="174">
        <f>COUNT(G53,J53,M53,P53)</f>
        <v/>
      </c>
      <c r="W53" s="173">
        <f>IF(OR(F53="",S53=""),"",F53-S53)</f>
        <v/>
      </c>
      <c r="X53" s="173">
        <f>IF(OR(E53="",W53=""),"",E53*W53)</f>
        <v/>
      </c>
      <c r="Y53" s="170" t="inlineStr">
        <is>
          <t>2026-09-10</t>
        </is>
      </c>
      <c r="Z53" s="175" t="inlineStr">
        <is>
          <t>NO PRICE</t>
        </is>
      </c>
      <c r="AA53" s="170" t="inlineStr">
        <is>
          <t>COMPARE / VERIFY CHECKOUT</t>
        </is>
      </c>
      <c r="AB53" s="170" t="inlineStr"/>
      <c r="AC53" s="44" t="inlineStr">
        <is>
          <t>https://www.audiotec-fischer.de/en/helix/</t>
        </is>
      </c>
      <c r="AD53" s="170" t="inlineStr">
        <is>
          <t>ALTERNATIVE / HISTORICAL</t>
        </is>
      </c>
    </row>
    <row r="54" ht="48" customHeight="1">
      <c r="A54" s="170" t="inlineStr">
        <is>
          <t>C</t>
        </is>
      </c>
      <c r="B54" s="170" t="inlineStr">
        <is>
          <t>HELIX Ci3 C100.2FM-S3</t>
        </is>
      </c>
      <c r="C54" s="170" t="inlineStr">
        <is>
          <t>Center speaker</t>
        </is>
      </c>
      <c r="D54" s="170" t="inlineStr">
        <is>
          <t>NO</t>
        </is>
      </c>
      <c r="E54" s="170" t="n"/>
      <c r="F54" s="172" t="n"/>
      <c r="G54" s="52" t="n"/>
      <c r="H54" s="170" t="inlineStr">
        <is>
          <t>NO CURRENT INDEXED LOCAL OFFER FOUND</t>
        </is>
      </c>
      <c r="I54" s="170" t="inlineStr"/>
      <c r="J54" s="52" t="n"/>
      <c r="K54" s="170" t="inlineStr">
        <is>
          <t>NO CURRENT INDEXED LOCAL OFFER FOUND</t>
        </is>
      </c>
      <c r="L54" s="170" t="inlineStr"/>
      <c r="M54" s="52" t="n"/>
      <c r="N54" s="170" t="inlineStr">
        <is>
          <t>NO CURRENT INDEXED LOCAL OFFER FOUND</t>
        </is>
      </c>
      <c r="O54" s="170" t="inlineStr"/>
      <c r="P54" s="52" t="n"/>
      <c r="Q54" s="170" t="inlineStr">
        <is>
          <t>NO CURRENT INDEXED LOCAL OFFER FOUND</t>
        </is>
      </c>
      <c r="R54" s="170" t="inlineStr"/>
      <c r="S54" s="173">
        <f>IF(COUNT(G54,J54,M54,P54)=0,"",MIN(G54,J54,M54,P54))</f>
        <v/>
      </c>
      <c r="T54" s="174">
        <f>IF(S54="","",IF(G54=S54,"NL",IF(J54=S54,"DE",IF(M54=S54,"BE","FR"))))</f>
        <v/>
      </c>
      <c r="U54" s="173">
        <f>IF(COUNT(G54,J54,M54,P54)=0,"",AVERAGE(G54,J54,M54,P54))</f>
        <v/>
      </c>
      <c r="V54" s="174">
        <f>COUNT(G54,J54,M54,P54)</f>
        <v/>
      </c>
      <c r="W54" s="173">
        <f>IF(OR(F54="",S54=""),"",F54-S54)</f>
        <v/>
      </c>
      <c r="X54" s="173">
        <f>IF(OR(E54="",W54=""),"",E54*W54)</f>
        <v/>
      </c>
      <c r="Y54" s="170" t="inlineStr">
        <is>
          <t>2026-09-10</t>
        </is>
      </c>
      <c r="Z54" s="175" t="inlineStr">
        <is>
          <t>NO PRICE</t>
        </is>
      </c>
      <c r="AA54" s="170" t="inlineStr">
        <is>
          <t>COMPARE / VERIFY CHECKOUT</t>
        </is>
      </c>
      <c r="AB54" s="170" t="inlineStr"/>
      <c r="AC54" s="44" t="inlineStr">
        <is>
          <t>https://www.audiotec-fischer.de/en/helix/</t>
        </is>
      </c>
      <c r="AD54" s="170" t="inlineStr">
        <is>
          <t>ALTERNATIVE / HISTORICAL</t>
        </is>
      </c>
    </row>
    <row r="55" ht="48" customHeight="1">
      <c r="A55" s="170" t="inlineStr">
        <is>
          <t>C</t>
        </is>
      </c>
      <c r="B55" s="170" t="inlineStr">
        <is>
          <t>HELIX Ci3 W200FM-S3</t>
        </is>
      </c>
      <c r="C55" s="170" t="inlineStr">
        <is>
          <t>Speaker</t>
        </is>
      </c>
      <c r="D55" s="170" t="inlineStr">
        <is>
          <t>NO</t>
        </is>
      </c>
      <c r="E55" s="170" t="n"/>
      <c r="F55" s="172" t="n"/>
      <c r="G55" s="52" t="n"/>
      <c r="H55" s="170" t="inlineStr">
        <is>
          <t>NO CURRENT INDEXED LOCAL OFFER FOUND</t>
        </is>
      </c>
      <c r="I55" s="170" t="inlineStr"/>
      <c r="J55" s="52" t="n"/>
      <c r="K55" s="170" t="inlineStr">
        <is>
          <t>NO CURRENT INDEXED LOCAL OFFER FOUND</t>
        </is>
      </c>
      <c r="L55" s="170" t="inlineStr"/>
      <c r="M55" s="52" t="n"/>
      <c r="N55" s="170" t="inlineStr">
        <is>
          <t>NO CURRENT INDEXED LOCAL OFFER FOUND</t>
        </is>
      </c>
      <c r="O55" s="170" t="inlineStr"/>
      <c r="P55" s="52" t="n"/>
      <c r="Q55" s="170" t="inlineStr">
        <is>
          <t>NO CURRENT INDEXED LOCAL OFFER FOUND</t>
        </is>
      </c>
      <c r="R55" s="170" t="inlineStr"/>
      <c r="S55" s="173">
        <f>IF(COUNT(G55,J55,M55,P55)=0,"",MIN(G55,J55,M55,P55))</f>
        <v/>
      </c>
      <c r="T55" s="174">
        <f>IF(S55="","",IF(G55=S55,"NL",IF(J55=S55,"DE",IF(M55=S55,"BE","FR"))))</f>
        <v/>
      </c>
      <c r="U55" s="173">
        <f>IF(COUNT(G55,J55,M55,P55)=0,"",AVERAGE(G55,J55,M55,P55))</f>
        <v/>
      </c>
      <c r="V55" s="174">
        <f>COUNT(G55,J55,M55,P55)</f>
        <v/>
      </c>
      <c r="W55" s="173">
        <f>IF(OR(F55="",S55=""),"",F55-S55)</f>
        <v/>
      </c>
      <c r="X55" s="173">
        <f>IF(OR(E55="",W55=""),"",E55*W55)</f>
        <v/>
      </c>
      <c r="Y55" s="170" t="inlineStr">
        <is>
          <t>2026-09-10</t>
        </is>
      </c>
      <c r="Z55" s="175" t="inlineStr">
        <is>
          <t>NO PRICE</t>
        </is>
      </c>
      <c r="AA55" s="170" t="inlineStr">
        <is>
          <t>COMPARE / VERIFY CHECKOUT</t>
        </is>
      </c>
      <c r="AB55" s="170" t="inlineStr"/>
      <c r="AC55" s="44" t="inlineStr">
        <is>
          <t>https://www.audiotec-fischer.de/en/helix/</t>
        </is>
      </c>
      <c r="AD55" s="170" t="inlineStr">
        <is>
          <t>ALTERNATIVE / HISTORICAL</t>
        </is>
      </c>
    </row>
    <row r="56" ht="48" customHeight="1">
      <c r="A56" s="170" t="inlineStr">
        <is>
          <t>C</t>
        </is>
      </c>
      <c r="B56" s="170" t="inlineStr">
        <is>
          <t>HELIX Ci5 M50FM-S3</t>
        </is>
      </c>
      <c r="C56" s="170" t="inlineStr">
        <is>
          <t>Speaker</t>
        </is>
      </c>
      <c r="D56" s="170" t="inlineStr">
        <is>
          <t>NO</t>
        </is>
      </c>
      <c r="E56" s="170" t="n"/>
      <c r="F56" s="172" t="n"/>
      <c r="G56" s="52" t="n"/>
      <c r="H56" s="170" t="inlineStr">
        <is>
          <t>NO CURRENT INDEXED LOCAL OFFER FOUND</t>
        </is>
      </c>
      <c r="I56" s="170" t="inlineStr"/>
      <c r="J56" s="52" t="n">
        <v>169</v>
      </c>
      <c r="K56" s="170" t="inlineStr">
        <is>
          <t>CarHifi-Store Bünde / ARS24</t>
        </is>
      </c>
      <c r="L56" s="44" t="inlineStr">
        <is>
          <t>https://www.carhifi-store-buende.de/helix-ci5-m50fm-s3</t>
        </is>
      </c>
      <c r="M56" s="52" t="n"/>
      <c r="N56" s="170" t="inlineStr">
        <is>
          <t>NO CURRENT INDEXED LOCAL OFFER FOUND</t>
        </is>
      </c>
      <c r="O56" s="170" t="inlineStr"/>
      <c r="P56" s="52" t="n"/>
      <c r="Q56" s="170" t="inlineStr">
        <is>
          <t>NO CURRENT INDEXED LOCAL OFFER FOUND</t>
        </is>
      </c>
      <c r="R56" s="170" t="inlineStr"/>
      <c r="S56" s="173">
        <f>IF(COUNT(G56,J56,M56,P56)=0,"",MIN(G56,J56,M56,P56))</f>
        <v/>
      </c>
      <c r="T56" s="174">
        <f>IF(S56="","",IF(G56=S56,"NL",IF(J56=S56,"DE",IF(M56=S56,"BE","FR"))))</f>
        <v/>
      </c>
      <c r="U56" s="173">
        <f>IF(COUNT(G56,J56,M56,P56)=0,"",AVERAGE(G56,J56,M56,P56))</f>
        <v/>
      </c>
      <c r="V56" s="174">
        <f>COUNT(G56,J56,M56,P56)</f>
        <v/>
      </c>
      <c r="W56" s="173">
        <f>IF(OR(F56="",S56=""),"",F56-S56)</f>
        <v/>
      </c>
      <c r="X56" s="173">
        <f>IF(OR(E56="",W56=""),"",E56*W56)</f>
        <v/>
      </c>
      <c r="Y56" s="170" t="inlineStr">
        <is>
          <t>2026-09-10</t>
        </is>
      </c>
      <c r="Z56" s="170" t="inlineStr">
        <is>
          <t>HIGH</t>
        </is>
      </c>
      <c r="AA56" s="170" t="inlineStr">
        <is>
          <t>COMPARE / VERIFY CHECKOUT</t>
        </is>
      </c>
      <c r="AB56" s="170" t="inlineStr">
        <is>
          <t>Headliner product retained as comparison, but current installer recommendation is to omit X569/X579 for music.</t>
        </is>
      </c>
      <c r="AC56" s="44" t="inlineStr">
        <is>
          <t>https://www.audiotec-fischer.de/en/helix/</t>
        </is>
      </c>
      <c r="AD56" s="170" t="inlineStr">
        <is>
          <t>ALTERNATIVE / HISTORICAL</t>
        </is>
      </c>
    </row>
    <row r="57" ht="48" customHeight="1">
      <c r="A57" s="170" t="inlineStr">
        <is>
          <t>C</t>
        </is>
      </c>
      <c r="B57" s="170" t="inlineStr">
        <is>
          <t>HELIX DSP MINI MK2</t>
        </is>
      </c>
      <c r="C57" s="170" t="inlineStr">
        <is>
          <t>DSP processor</t>
        </is>
      </c>
      <c r="D57" s="170" t="inlineStr">
        <is>
          <t>NO</t>
        </is>
      </c>
      <c r="E57" s="170" t="n"/>
      <c r="F57" s="172" t="n"/>
      <c r="G57" s="52" t="n"/>
      <c r="H57" s="170" t="inlineStr">
        <is>
          <t>NO CURRENT INDEXED LOCAL OFFER FOUND</t>
        </is>
      </c>
      <c r="I57" s="170" t="inlineStr"/>
      <c r="J57" s="52" t="n">
        <v>399</v>
      </c>
      <c r="K57" s="170" t="inlineStr">
        <is>
          <t>Caraudio-store / ARS24</t>
        </is>
      </c>
      <c r="L57" s="44" t="inlineStr">
        <is>
          <t>https://www.caraudio-store.de/Helix_s3</t>
        </is>
      </c>
      <c r="M57" s="52" t="n"/>
      <c r="N57" s="170" t="inlineStr">
        <is>
          <t>NO CURRENT INDEXED LOCAL OFFER FOUND</t>
        </is>
      </c>
      <c r="O57" s="170" t="inlineStr"/>
      <c r="P57" s="52" t="n"/>
      <c r="Q57" s="170" t="inlineStr">
        <is>
          <t>NO CURRENT INDEXED LOCAL OFFER FOUND</t>
        </is>
      </c>
      <c r="R57" s="170" t="inlineStr"/>
      <c r="S57" s="173">
        <f>IF(COUNT(G57,J57,M57,P57)=0,"",MIN(G57,J57,M57,P57))</f>
        <v/>
      </c>
      <c r="T57" s="174">
        <f>IF(S57="","",IF(G57=S57,"NL",IF(J57=S57,"DE",IF(M57=S57,"BE","FR"))))</f>
        <v/>
      </c>
      <c r="U57" s="173">
        <f>IF(COUNT(G57,J57,M57,P57)=0,"",AVERAGE(G57,J57,M57,P57))</f>
        <v/>
      </c>
      <c r="V57" s="174">
        <f>COUNT(G57,J57,M57,P57)</f>
        <v/>
      </c>
      <c r="W57" s="173">
        <f>IF(OR(F57="",S57=""),"",F57-S57)</f>
        <v/>
      </c>
      <c r="X57" s="173">
        <f>IF(OR(E57="",W57=""),"",E57*W57)</f>
        <v/>
      </c>
      <c r="Y57" s="170" t="inlineStr">
        <is>
          <t>2026-09-10</t>
        </is>
      </c>
      <c r="Z57" s="170" t="inlineStr">
        <is>
          <t>HIGH</t>
        </is>
      </c>
      <c r="AA57" s="170" t="inlineStr">
        <is>
          <t>COMPARE / VERIFY CHECKOUT</t>
        </is>
      </c>
      <c r="AB57" s="170" t="inlineStr"/>
      <c r="AC57" s="44" t="inlineStr">
        <is>
          <t>https://www.audiotec-fischer.de/en/helix/</t>
        </is>
      </c>
      <c r="AD57" s="170" t="inlineStr">
        <is>
          <t>ALTERNATIVE / HISTORICAL</t>
        </is>
      </c>
    </row>
    <row r="58" ht="48" customHeight="1">
      <c r="A58" s="170" t="inlineStr">
        <is>
          <t>C</t>
        </is>
      </c>
      <c r="B58" s="170" t="inlineStr">
        <is>
          <t>HELIX T20FM-TI</t>
        </is>
      </c>
      <c r="C58" s="170" t="inlineStr">
        <is>
          <t>Tweeter</t>
        </is>
      </c>
      <c r="D58" s="170" t="inlineStr">
        <is>
          <t>NO</t>
        </is>
      </c>
      <c r="E58" s="170" t="n"/>
      <c r="F58" s="172" t="n"/>
      <c r="G58" s="52" t="n"/>
      <c r="H58" s="170" t="inlineStr">
        <is>
          <t>NO CURRENT INDEXED LOCAL OFFER FOUND</t>
        </is>
      </c>
      <c r="I58" s="170" t="inlineStr"/>
      <c r="J58" s="52" t="n"/>
      <c r="K58" s="170" t="inlineStr">
        <is>
          <t>NO CURRENT INDEXED LOCAL OFFER FOUND</t>
        </is>
      </c>
      <c r="L58" s="170" t="inlineStr"/>
      <c r="M58" s="52" t="n"/>
      <c r="N58" s="170" t="inlineStr">
        <is>
          <t>NO CURRENT INDEXED LOCAL OFFER FOUND</t>
        </is>
      </c>
      <c r="O58" s="170" t="inlineStr"/>
      <c r="P58" s="52" t="n"/>
      <c r="Q58" s="170" t="inlineStr">
        <is>
          <t>NO CURRENT INDEXED LOCAL OFFER FOUND</t>
        </is>
      </c>
      <c r="R58" s="170" t="inlineStr"/>
      <c r="S58" s="173">
        <f>IF(COUNT(G58,J58,M58,P58)=0,"",MIN(G58,J58,M58,P58))</f>
        <v/>
      </c>
      <c r="T58" s="174">
        <f>IF(S58="","",IF(G58=S58,"NL",IF(J58=S58,"DE",IF(M58=S58,"BE","FR"))))</f>
        <v/>
      </c>
      <c r="U58" s="173">
        <f>IF(COUNT(G58,J58,M58,P58)=0,"",AVERAGE(G58,J58,M58,P58))</f>
        <v/>
      </c>
      <c r="V58" s="174">
        <f>COUNT(G58,J58,M58,P58)</f>
        <v/>
      </c>
      <c r="W58" s="173">
        <f>IF(OR(F58="",S58=""),"",F58-S58)</f>
        <v/>
      </c>
      <c r="X58" s="173">
        <f>IF(OR(E58="",W58=""),"",E58*W58)</f>
        <v/>
      </c>
      <c r="Y58" s="170" t="inlineStr">
        <is>
          <t>2026-09-10</t>
        </is>
      </c>
      <c r="Z58" s="175" t="inlineStr">
        <is>
          <t>NO PRICE</t>
        </is>
      </c>
      <c r="AA58" s="170" t="inlineStr">
        <is>
          <t>COMPARE / VERIFY CHECKOUT</t>
        </is>
      </c>
      <c r="AB58" s="170" t="inlineStr"/>
      <c r="AC58" s="44" t="inlineStr">
        <is>
          <t>https://www.audiotec-fischer.de/en/helix/</t>
        </is>
      </c>
      <c r="AD58" s="170" t="inlineStr">
        <is>
          <t>ALTERNATIVE / HISTORICAL</t>
        </is>
      </c>
    </row>
    <row r="59" ht="48" customHeight="1">
      <c r="A59" s="170" t="inlineStr">
        <is>
          <t>C</t>
        </is>
      </c>
      <c r="B59" s="170" t="inlineStr">
        <is>
          <t>HELIX V EIGHT DSP (legacy)</t>
        </is>
      </c>
      <c r="C59" s="170" t="inlineStr">
        <is>
          <t>DSP amplifier</t>
        </is>
      </c>
      <c r="D59" s="170" t="inlineStr">
        <is>
          <t>NO</t>
        </is>
      </c>
      <c r="E59" s="170" t="n"/>
      <c r="F59" s="172" t="n"/>
      <c r="G59" s="52" t="n"/>
      <c r="H59" s="170" t="inlineStr">
        <is>
          <t>NO CURRENT INDEXED LOCAL OFFER FOUND</t>
        </is>
      </c>
      <c r="I59" s="170" t="inlineStr"/>
      <c r="J59" s="52" t="n">
        <v>949</v>
      </c>
      <c r="K59" s="170" t="inlineStr">
        <is>
          <t>ARS24 clearance</t>
        </is>
      </c>
      <c r="L59" s="44" t="inlineStr">
        <is>
          <t>https://www.ars24.com/en/helix-v-eight-dsp</t>
        </is>
      </c>
      <c r="M59" s="52" t="n"/>
      <c r="N59" s="170" t="inlineStr">
        <is>
          <t>NO CURRENT INDEXED LOCAL OFFER FOUND</t>
        </is>
      </c>
      <c r="O59" s="170" t="inlineStr"/>
      <c r="P59" s="52" t="n"/>
      <c r="Q59" s="170" t="inlineStr">
        <is>
          <t>NO CURRENT INDEXED LOCAL OFFER FOUND</t>
        </is>
      </c>
      <c r="R59" s="170" t="inlineStr"/>
      <c r="S59" s="173">
        <f>IF(COUNT(G59,J59,M59,P59)=0,"",MIN(G59,J59,M59,P59))</f>
        <v/>
      </c>
      <c r="T59" s="174">
        <f>IF(S59="","",IF(G59=S59,"NL",IF(J59=S59,"DE",IF(M59=S59,"BE","FR"))))</f>
        <v/>
      </c>
      <c r="U59" s="173">
        <f>IF(COUNT(G59,J59,M59,P59)=0,"",AVERAGE(G59,J59,M59,P59))</f>
        <v/>
      </c>
      <c r="V59" s="174">
        <f>COUNT(G59,J59,M59,P59)</f>
        <v/>
      </c>
      <c r="W59" s="173">
        <f>IF(OR(F59="",S59=""),"",F59-S59)</f>
        <v/>
      </c>
      <c r="X59" s="173">
        <f>IF(OR(E59="",W59=""),"",E59*W59)</f>
        <v/>
      </c>
      <c r="Y59" s="170" t="inlineStr">
        <is>
          <t>2026-09-10</t>
        </is>
      </c>
      <c r="Z59" s="170" t="inlineStr">
        <is>
          <t>MEDIUM</t>
        </is>
      </c>
      <c r="AA59" s="170" t="inlineStr">
        <is>
          <t>COMPARE / VERIFY CHECKOUT</t>
        </is>
      </c>
      <c r="AB59" s="170" t="inlineStr">
        <is>
          <t>Legacy/new-old-stock route.</t>
        </is>
      </c>
      <c r="AC59" s="44" t="inlineStr">
        <is>
          <t>https://www.audiotec-fischer.de/en/helix/</t>
        </is>
      </c>
      <c r="AD59" s="170" t="inlineStr">
        <is>
          <t>ALTERNATIVE / HISTORICAL</t>
        </is>
      </c>
    </row>
    <row r="60" ht="48" customHeight="1">
      <c r="A60" s="170" t="inlineStr">
        <is>
          <t>C</t>
        </is>
      </c>
      <c r="B60" s="170" t="inlineStr">
        <is>
          <t>MUSWAY MAE6.2W</t>
        </is>
      </c>
      <c r="C60" s="170" t="inlineStr">
        <is>
          <t>Woofer</t>
        </is>
      </c>
      <c r="D60" s="170" t="inlineStr">
        <is>
          <t>NO</t>
        </is>
      </c>
      <c r="E60" s="170" t="n"/>
      <c r="F60" s="172" t="n"/>
      <c r="G60" s="52" t="n">
        <v>119</v>
      </c>
      <c r="H60" s="170" t="inlineStr">
        <is>
          <t>MB Car Audio</t>
        </is>
      </c>
      <c r="I60" s="44" t="inlineStr">
        <is>
          <t>https://mbcaraudio.nl/</t>
        </is>
      </c>
      <c r="J60" s="52" t="n">
        <v>129</v>
      </c>
      <c r="K60" s="170" t="inlineStr">
        <is>
          <t>Musway MSRP / DE benchmark</t>
        </is>
      </c>
      <c r="L60" s="44" t="inlineStr">
        <is>
          <t>https://musway.de/</t>
        </is>
      </c>
      <c r="M60" s="52" t="n"/>
      <c r="N60" s="170" t="inlineStr">
        <is>
          <t>NO CURRENT INDEXED LOCAL OFFER FOUND</t>
        </is>
      </c>
      <c r="O60" s="170" t="inlineStr"/>
      <c r="P60" s="52" t="n"/>
      <c r="Q60" s="170" t="inlineStr">
        <is>
          <t>NO CURRENT INDEXED LOCAL OFFER FOUND</t>
        </is>
      </c>
      <c r="R60" s="170" t="inlineStr"/>
      <c r="S60" s="173">
        <f>IF(COUNT(G60,J60,M60,P60)=0,"",MIN(G60,J60,M60,P60))</f>
        <v/>
      </c>
      <c r="T60" s="174">
        <f>IF(S60="","",IF(G60=S60,"NL",IF(J60=S60,"DE",IF(M60=S60,"BE","FR"))))</f>
        <v/>
      </c>
      <c r="U60" s="173">
        <f>IF(COUNT(G60,J60,M60,P60)=0,"",AVERAGE(G60,J60,M60,P60))</f>
        <v/>
      </c>
      <c r="V60" s="174">
        <f>COUNT(G60,J60,M60,P60)</f>
        <v/>
      </c>
      <c r="W60" s="173">
        <f>IF(OR(F60="",S60=""),"",F60-S60)</f>
        <v/>
      </c>
      <c r="X60" s="173">
        <f>IF(OR(E60="",W60=""),"",E60*W60)</f>
        <v/>
      </c>
      <c r="Y60" s="170" t="inlineStr">
        <is>
          <t>2026-09-10</t>
        </is>
      </c>
      <c r="Z60" s="170" t="inlineStr">
        <is>
          <t>MEDIUM</t>
        </is>
      </c>
      <c r="AA60" s="170" t="inlineStr">
        <is>
          <t>COMPARE / VERIFY CHECKOUT</t>
        </is>
      </c>
      <c r="AB60" s="170" t="inlineStr"/>
      <c r="AC60" s="44" t="inlineStr">
        <is>
          <t>https://musway.de/english/</t>
        </is>
      </c>
      <c r="AD60" s="170" t="inlineStr">
        <is>
          <t>ALTERNATIVE / HISTORICAL</t>
        </is>
      </c>
    </row>
    <row r="61" ht="48" customHeight="1">
      <c r="A61" s="170" t="inlineStr">
        <is>
          <t>C</t>
        </is>
      </c>
      <c r="B61" s="170" t="inlineStr">
        <is>
          <t>MUSWAY ML3M</t>
        </is>
      </c>
      <c r="C61" s="170" t="inlineStr">
        <is>
          <t>Speaker</t>
        </is>
      </c>
      <c r="D61" s="170" t="inlineStr">
        <is>
          <t>NO</t>
        </is>
      </c>
      <c r="E61" s="170" t="n"/>
      <c r="F61" s="172" t="n"/>
      <c r="G61" s="52" t="n"/>
      <c r="H61" s="170" t="inlineStr">
        <is>
          <t>NO CURRENT INDEXED LOCAL OFFER FOUND</t>
        </is>
      </c>
      <c r="I61" s="170" t="inlineStr"/>
      <c r="J61" s="52" t="n"/>
      <c r="K61" s="170" t="inlineStr">
        <is>
          <t>NO CURRENT INDEXED LOCAL OFFER FOUND</t>
        </is>
      </c>
      <c r="L61" s="170" t="inlineStr"/>
      <c r="M61" s="52" t="n"/>
      <c r="N61" s="170" t="inlineStr">
        <is>
          <t>NO CURRENT INDEXED LOCAL OFFER FOUND</t>
        </is>
      </c>
      <c r="O61" s="170" t="inlineStr"/>
      <c r="P61" s="52" t="n"/>
      <c r="Q61" s="170" t="inlineStr">
        <is>
          <t>NO CURRENT INDEXED LOCAL OFFER FOUND</t>
        </is>
      </c>
      <c r="R61" s="170" t="inlineStr"/>
      <c r="S61" s="173">
        <f>IF(COUNT(G61,J61,M61,P61)=0,"",MIN(G61,J61,M61,P61))</f>
        <v/>
      </c>
      <c r="T61" s="174">
        <f>IF(S61="","",IF(G61=S61,"NL",IF(J61=S61,"DE",IF(M61=S61,"BE","FR"))))</f>
        <v/>
      </c>
      <c r="U61" s="173">
        <f>IF(COUNT(G61,J61,M61,P61)=0,"",AVERAGE(G61,J61,M61,P61))</f>
        <v/>
      </c>
      <c r="V61" s="174">
        <f>COUNT(G61,J61,M61,P61)</f>
        <v/>
      </c>
      <c r="W61" s="173">
        <f>IF(OR(F61="",S61=""),"",F61-S61)</f>
        <v/>
      </c>
      <c r="X61" s="173">
        <f>IF(OR(E61="",W61=""),"",E61*W61)</f>
        <v/>
      </c>
      <c r="Y61" s="170" t="inlineStr">
        <is>
          <t>2026-09-10</t>
        </is>
      </c>
      <c r="Z61" s="175" t="inlineStr">
        <is>
          <t>NO PRICE</t>
        </is>
      </c>
      <c r="AA61" s="170" t="inlineStr">
        <is>
          <t>COMPARE / VERIFY CHECKOUT</t>
        </is>
      </c>
      <c r="AB61" s="170" t="inlineStr"/>
      <c r="AC61" s="44" t="inlineStr">
        <is>
          <t>https://musway.de/english/</t>
        </is>
      </c>
      <c r="AD61" s="170" t="inlineStr">
        <is>
          <t>ALTERNATIVE / HISTORICAL</t>
        </is>
      </c>
    </row>
    <row r="62" ht="48" customHeight="1">
      <c r="A62" s="170" t="inlineStr">
        <is>
          <t>C</t>
        </is>
      </c>
      <c r="B62" s="170" t="inlineStr">
        <is>
          <t>MUSWAY TES3YSET1</t>
        </is>
      </c>
      <c r="C62" s="170" t="inlineStr">
        <is>
          <t>Tesla speaker kit</t>
        </is>
      </c>
      <c r="D62" s="170" t="inlineStr">
        <is>
          <t>NO</t>
        </is>
      </c>
      <c r="E62" s="170" t="n"/>
      <c r="F62" s="172" t="n"/>
      <c r="G62" s="52" t="n"/>
      <c r="H62" s="170" t="inlineStr">
        <is>
          <t>NO CURRENT INDEXED LOCAL OFFER FOUND</t>
        </is>
      </c>
      <c r="I62" s="170" t="inlineStr"/>
      <c r="J62" s="52" t="n">
        <v>799</v>
      </c>
      <c r="K62" s="170" t="inlineStr">
        <is>
          <t>Musway / DE retail benchmark</t>
        </is>
      </c>
      <c r="L62" s="44" t="inlineStr">
        <is>
          <t>https://musway.de/english/tes3yset1.html</t>
        </is>
      </c>
      <c r="M62" s="52" t="n"/>
      <c r="N62" s="170" t="inlineStr">
        <is>
          <t>NO CURRENT INDEXED LOCAL OFFER FOUND</t>
        </is>
      </c>
      <c r="O62" s="170" t="inlineStr"/>
      <c r="P62" s="52" t="n"/>
      <c r="Q62" s="170" t="inlineStr">
        <is>
          <t>NO CURRENT INDEXED LOCAL OFFER FOUND</t>
        </is>
      </c>
      <c r="R62" s="170" t="inlineStr"/>
      <c r="S62" s="173">
        <f>IF(COUNT(G62,J62,M62,P62)=0,"",MIN(G62,J62,M62,P62))</f>
        <v/>
      </c>
      <c r="T62" s="174">
        <f>IF(S62="","",IF(G62=S62,"NL",IF(J62=S62,"DE",IF(M62=S62,"BE","FR"))))</f>
        <v/>
      </c>
      <c r="U62" s="173">
        <f>IF(COUNT(G62,J62,M62,P62)=0,"",AVERAGE(G62,J62,M62,P62))</f>
        <v/>
      </c>
      <c r="V62" s="174">
        <f>COUNT(G62,J62,M62,P62)</f>
        <v/>
      </c>
      <c r="W62" s="173">
        <f>IF(OR(F62="",S62=""),"",F62-S62)</f>
        <v/>
      </c>
      <c r="X62" s="173">
        <f>IF(OR(E62="",W62=""),"",E62*W62)</f>
        <v/>
      </c>
      <c r="Y62" s="170" t="inlineStr">
        <is>
          <t>2026-09-10</t>
        </is>
      </c>
      <c r="Z62" s="170" t="inlineStr">
        <is>
          <t>MEDIUM</t>
        </is>
      </c>
      <c r="AA62" s="170" t="inlineStr">
        <is>
          <t>COMPARE / VERIFY CHECKOUT</t>
        </is>
      </c>
      <c r="AB62" s="170" t="inlineStr"/>
      <c r="AC62" s="44" t="inlineStr">
        <is>
          <t>https://musway.de/english/</t>
        </is>
      </c>
      <c r="AD62" s="170" t="inlineStr">
        <is>
          <t>ALTERNATIVE / HISTORICAL</t>
        </is>
      </c>
    </row>
    <row r="63" ht="48" customHeight="1">
      <c r="A63" s="170" t="inlineStr">
        <is>
          <t>C</t>
        </is>
      </c>
      <c r="B63" s="170" t="inlineStr">
        <is>
          <t>PowerBass OE40CN-T3Y</t>
        </is>
      </c>
      <c r="C63" s="170" t="inlineStr">
        <is>
          <t>Tesla speaker</t>
        </is>
      </c>
      <c r="D63" s="170" t="inlineStr">
        <is>
          <t>NO</t>
        </is>
      </c>
      <c r="E63" s="170" t="n"/>
      <c r="F63" s="172" t="n"/>
      <c r="G63" s="52" t="n"/>
      <c r="H63" s="170" t="inlineStr">
        <is>
          <t>NO CURRENT INDEXED LOCAL OFFER FOUND</t>
        </is>
      </c>
      <c r="I63" s="170" t="inlineStr"/>
      <c r="J63" s="52" t="n"/>
      <c r="K63" s="170" t="inlineStr">
        <is>
          <t>NO CURRENT INDEXED LOCAL OFFER FOUND</t>
        </is>
      </c>
      <c r="L63" s="170" t="inlineStr"/>
      <c r="M63" s="52" t="n"/>
      <c r="N63" s="170" t="inlineStr">
        <is>
          <t>NO CURRENT INDEXED LOCAL OFFER FOUND</t>
        </is>
      </c>
      <c r="O63" s="170" t="inlineStr"/>
      <c r="P63" s="52" t="n"/>
      <c r="Q63" s="170" t="inlineStr">
        <is>
          <t>NO CURRENT INDEXED LOCAL OFFER FOUND</t>
        </is>
      </c>
      <c r="R63" s="170" t="inlineStr"/>
      <c r="S63" s="173">
        <f>IF(COUNT(G63,J63,M63,P63)=0,"",MIN(G63,J63,M63,P63))</f>
        <v/>
      </c>
      <c r="T63" s="174">
        <f>IF(S63="","",IF(G63=S63,"NL",IF(J63=S63,"DE",IF(M63=S63,"BE","FR"))))</f>
        <v/>
      </c>
      <c r="U63" s="173">
        <f>IF(COUNT(G63,J63,M63,P63)=0,"",AVERAGE(G63,J63,M63,P63))</f>
        <v/>
      </c>
      <c r="V63" s="174">
        <f>COUNT(G63,J63,M63,P63)</f>
        <v/>
      </c>
      <c r="W63" s="173">
        <f>IF(OR(F63="",S63=""),"",F63-S63)</f>
        <v/>
      </c>
      <c r="X63" s="173">
        <f>IF(OR(E63="",W63=""),"",E63*W63)</f>
        <v/>
      </c>
      <c r="Y63" s="170" t="inlineStr">
        <is>
          <t>2026-09-10</t>
        </is>
      </c>
      <c r="Z63" s="175" t="inlineStr">
        <is>
          <t>NO PRICE</t>
        </is>
      </c>
      <c r="AA63" s="170" t="inlineStr">
        <is>
          <t>COMPARE / VERIFY CHECKOUT</t>
        </is>
      </c>
      <c r="AB63" s="170" t="inlineStr">
        <is>
          <t>No current indexed NL/DE/BE/FR local offer found; Greek benchmark deliberately excluded from West-EU low price.</t>
        </is>
      </c>
      <c r="AC63" s="170" t="inlineStr"/>
      <c r="AD63" s="170" t="inlineStr">
        <is>
          <t>ALTERNATIVE / HISTORICAL</t>
        </is>
      </c>
    </row>
    <row r="66">
      <c r="A66" s="5" t="inlineStr">
        <is>
          <t>MB quote split-buy summary</t>
        </is>
      </c>
    </row>
    <row r="67">
      <c r="A67" t="inlineStr">
        <is>
          <t>MB quote total</t>
        </is>
      </c>
      <c r="B67" s="100">
        <f>SUMPRODUCT(E5:E63,F5:F63,--(D5:D63="YES"))</f>
        <v/>
      </c>
    </row>
    <row r="68">
      <c r="A68" t="inlineStr">
        <is>
          <t>Split-buy low total</t>
        </is>
      </c>
      <c r="B68" s="100">
        <f>SUMPRODUCT(E5:E63,S5:S63,--(D5:D63="YES"))</f>
        <v/>
      </c>
    </row>
    <row r="69">
      <c r="A69" t="inlineStr">
        <is>
          <t>Gross saving</t>
        </is>
      </c>
      <c r="B69" s="100">
        <f>B67-B68</f>
        <v/>
      </c>
    </row>
    <row r="70">
      <c r="A70" t="inlineStr">
        <is>
          <t>Gross saving %</t>
        </is>
      </c>
      <c r="B70" s="176">
        <f>B69/B67</f>
        <v/>
      </c>
    </row>
    <row r="71">
      <c r="A71" t="inlineStr">
        <is>
          <t>Caution</t>
        </is>
      </c>
      <c r="B71" s="42" t="inlineStr">
        <is>
          <t>Shipping, stock, seller reliability, warranty handling and checkout price can erase part of the gross saving. Marketplace lows are marked MEDIUM confidence.</t>
        </is>
      </c>
    </row>
  </sheetData>
  <autoFilter ref="A4:AD63"/>
  <mergeCells count="4">
    <mergeCell ref="A66:F66"/>
    <mergeCell ref="A2:AD2"/>
    <mergeCell ref="A1:AD1"/>
    <mergeCell ref="B71:L71"/>
  </mergeCells>
  <hyperlinks>
    <hyperlink xmlns:r="http://schemas.openxmlformats.org/officeDocument/2006/relationships" ref="R5" r:id="rId1"/>
    <hyperlink xmlns:r="http://schemas.openxmlformats.org/officeDocument/2006/relationships" ref="AC5" r:id="rId2"/>
    <hyperlink xmlns:r="http://schemas.openxmlformats.org/officeDocument/2006/relationships" ref="L6" r:id="rId3"/>
    <hyperlink xmlns:r="http://schemas.openxmlformats.org/officeDocument/2006/relationships" ref="R6" r:id="rId4"/>
    <hyperlink xmlns:r="http://schemas.openxmlformats.org/officeDocument/2006/relationships" ref="AC6" r:id="rId5"/>
    <hyperlink xmlns:r="http://schemas.openxmlformats.org/officeDocument/2006/relationships" ref="L7" r:id="rId6"/>
    <hyperlink xmlns:r="http://schemas.openxmlformats.org/officeDocument/2006/relationships" ref="R7" r:id="rId7"/>
    <hyperlink xmlns:r="http://schemas.openxmlformats.org/officeDocument/2006/relationships" ref="AC7" r:id="rId8"/>
    <hyperlink xmlns:r="http://schemas.openxmlformats.org/officeDocument/2006/relationships" ref="I8" r:id="rId9"/>
    <hyperlink xmlns:r="http://schemas.openxmlformats.org/officeDocument/2006/relationships" ref="L8" r:id="rId10"/>
    <hyperlink xmlns:r="http://schemas.openxmlformats.org/officeDocument/2006/relationships" ref="R8" r:id="rId11"/>
    <hyperlink xmlns:r="http://schemas.openxmlformats.org/officeDocument/2006/relationships" ref="AC8" r:id="rId12"/>
    <hyperlink xmlns:r="http://schemas.openxmlformats.org/officeDocument/2006/relationships" ref="I9" r:id="rId13"/>
    <hyperlink xmlns:r="http://schemas.openxmlformats.org/officeDocument/2006/relationships" ref="L9" r:id="rId14"/>
    <hyperlink xmlns:r="http://schemas.openxmlformats.org/officeDocument/2006/relationships" ref="R9" r:id="rId15"/>
    <hyperlink xmlns:r="http://schemas.openxmlformats.org/officeDocument/2006/relationships" ref="AC9" r:id="rId16"/>
    <hyperlink xmlns:r="http://schemas.openxmlformats.org/officeDocument/2006/relationships" ref="I10" r:id="rId17"/>
    <hyperlink xmlns:r="http://schemas.openxmlformats.org/officeDocument/2006/relationships" ref="L10" r:id="rId18"/>
    <hyperlink xmlns:r="http://schemas.openxmlformats.org/officeDocument/2006/relationships" ref="R10" r:id="rId19"/>
    <hyperlink xmlns:r="http://schemas.openxmlformats.org/officeDocument/2006/relationships" ref="AC10" r:id="rId20"/>
    <hyperlink xmlns:r="http://schemas.openxmlformats.org/officeDocument/2006/relationships" ref="I11" r:id="rId21"/>
    <hyperlink xmlns:r="http://schemas.openxmlformats.org/officeDocument/2006/relationships" ref="L11" r:id="rId22"/>
    <hyperlink xmlns:r="http://schemas.openxmlformats.org/officeDocument/2006/relationships" ref="R11" r:id="rId23"/>
    <hyperlink xmlns:r="http://schemas.openxmlformats.org/officeDocument/2006/relationships" ref="AC11" r:id="rId24"/>
    <hyperlink xmlns:r="http://schemas.openxmlformats.org/officeDocument/2006/relationships" ref="I12" r:id="rId25"/>
    <hyperlink xmlns:r="http://schemas.openxmlformats.org/officeDocument/2006/relationships" ref="L12" r:id="rId26"/>
    <hyperlink xmlns:r="http://schemas.openxmlformats.org/officeDocument/2006/relationships" ref="R12" r:id="rId27"/>
    <hyperlink xmlns:r="http://schemas.openxmlformats.org/officeDocument/2006/relationships" ref="AC12" r:id="rId28"/>
    <hyperlink xmlns:r="http://schemas.openxmlformats.org/officeDocument/2006/relationships" ref="I13" r:id="rId29"/>
    <hyperlink xmlns:r="http://schemas.openxmlformats.org/officeDocument/2006/relationships" ref="L13" r:id="rId30"/>
    <hyperlink xmlns:r="http://schemas.openxmlformats.org/officeDocument/2006/relationships" ref="R13" r:id="rId31"/>
    <hyperlink xmlns:r="http://schemas.openxmlformats.org/officeDocument/2006/relationships" ref="AC13" r:id="rId32"/>
    <hyperlink xmlns:r="http://schemas.openxmlformats.org/officeDocument/2006/relationships" ref="L14" r:id="rId33"/>
    <hyperlink xmlns:r="http://schemas.openxmlformats.org/officeDocument/2006/relationships" ref="AC14" r:id="rId34"/>
    <hyperlink xmlns:r="http://schemas.openxmlformats.org/officeDocument/2006/relationships" ref="I15" r:id="rId35"/>
    <hyperlink xmlns:r="http://schemas.openxmlformats.org/officeDocument/2006/relationships" ref="L15" r:id="rId36"/>
    <hyperlink xmlns:r="http://schemas.openxmlformats.org/officeDocument/2006/relationships" ref="O15" r:id="rId37"/>
    <hyperlink xmlns:r="http://schemas.openxmlformats.org/officeDocument/2006/relationships" ref="R15" r:id="rId38"/>
    <hyperlink xmlns:r="http://schemas.openxmlformats.org/officeDocument/2006/relationships" ref="AC15" r:id="rId39"/>
    <hyperlink xmlns:r="http://schemas.openxmlformats.org/officeDocument/2006/relationships" ref="I16" r:id="rId40"/>
    <hyperlink xmlns:r="http://schemas.openxmlformats.org/officeDocument/2006/relationships" ref="L16" r:id="rId41"/>
    <hyperlink xmlns:r="http://schemas.openxmlformats.org/officeDocument/2006/relationships" ref="AC16" r:id="rId42"/>
    <hyperlink xmlns:r="http://schemas.openxmlformats.org/officeDocument/2006/relationships" ref="AC17" r:id="rId43"/>
    <hyperlink xmlns:r="http://schemas.openxmlformats.org/officeDocument/2006/relationships" ref="I18" r:id="rId44"/>
    <hyperlink xmlns:r="http://schemas.openxmlformats.org/officeDocument/2006/relationships" ref="L18" r:id="rId45"/>
    <hyperlink xmlns:r="http://schemas.openxmlformats.org/officeDocument/2006/relationships" ref="R18" r:id="rId46"/>
    <hyperlink xmlns:r="http://schemas.openxmlformats.org/officeDocument/2006/relationships" ref="AC18" r:id="rId47"/>
    <hyperlink xmlns:r="http://schemas.openxmlformats.org/officeDocument/2006/relationships" ref="I19" r:id="rId48"/>
    <hyperlink xmlns:r="http://schemas.openxmlformats.org/officeDocument/2006/relationships" ref="AC19" r:id="rId49"/>
    <hyperlink xmlns:r="http://schemas.openxmlformats.org/officeDocument/2006/relationships" ref="I20" r:id="rId50"/>
    <hyperlink xmlns:r="http://schemas.openxmlformats.org/officeDocument/2006/relationships" ref="L20" r:id="rId51"/>
    <hyperlink xmlns:r="http://schemas.openxmlformats.org/officeDocument/2006/relationships" ref="AC20" r:id="rId52"/>
    <hyperlink xmlns:r="http://schemas.openxmlformats.org/officeDocument/2006/relationships" ref="I21" r:id="rId53"/>
    <hyperlink xmlns:r="http://schemas.openxmlformats.org/officeDocument/2006/relationships" ref="L21" r:id="rId54"/>
    <hyperlink xmlns:r="http://schemas.openxmlformats.org/officeDocument/2006/relationships" ref="AC21" r:id="rId55"/>
    <hyperlink xmlns:r="http://schemas.openxmlformats.org/officeDocument/2006/relationships" ref="L22" r:id="rId56"/>
    <hyperlink xmlns:r="http://schemas.openxmlformats.org/officeDocument/2006/relationships" ref="R22" r:id="rId57"/>
    <hyperlink xmlns:r="http://schemas.openxmlformats.org/officeDocument/2006/relationships" ref="AC22" r:id="rId58"/>
    <hyperlink xmlns:r="http://schemas.openxmlformats.org/officeDocument/2006/relationships" ref="L23" r:id="rId59"/>
    <hyperlink xmlns:r="http://schemas.openxmlformats.org/officeDocument/2006/relationships" ref="R23" r:id="rId60"/>
    <hyperlink xmlns:r="http://schemas.openxmlformats.org/officeDocument/2006/relationships" ref="AC23" r:id="rId61"/>
    <hyperlink xmlns:r="http://schemas.openxmlformats.org/officeDocument/2006/relationships" ref="L24" r:id="rId62"/>
    <hyperlink xmlns:r="http://schemas.openxmlformats.org/officeDocument/2006/relationships" ref="AC24" r:id="rId63"/>
    <hyperlink xmlns:r="http://schemas.openxmlformats.org/officeDocument/2006/relationships" ref="L25" r:id="rId64"/>
    <hyperlink xmlns:r="http://schemas.openxmlformats.org/officeDocument/2006/relationships" ref="AC25" r:id="rId65"/>
    <hyperlink xmlns:r="http://schemas.openxmlformats.org/officeDocument/2006/relationships" ref="L26" r:id="rId66"/>
    <hyperlink xmlns:r="http://schemas.openxmlformats.org/officeDocument/2006/relationships" ref="AC26" r:id="rId67"/>
    <hyperlink xmlns:r="http://schemas.openxmlformats.org/officeDocument/2006/relationships" ref="L27" r:id="rId68"/>
    <hyperlink xmlns:r="http://schemas.openxmlformats.org/officeDocument/2006/relationships" ref="AC27" r:id="rId69"/>
    <hyperlink xmlns:r="http://schemas.openxmlformats.org/officeDocument/2006/relationships" ref="I28" r:id="rId70"/>
    <hyperlink xmlns:r="http://schemas.openxmlformats.org/officeDocument/2006/relationships" ref="L28" r:id="rId71"/>
    <hyperlink xmlns:r="http://schemas.openxmlformats.org/officeDocument/2006/relationships" ref="R28" r:id="rId72"/>
    <hyperlink xmlns:r="http://schemas.openxmlformats.org/officeDocument/2006/relationships" ref="AC28" r:id="rId73"/>
    <hyperlink xmlns:r="http://schemas.openxmlformats.org/officeDocument/2006/relationships" ref="I29" r:id="rId74"/>
    <hyperlink xmlns:r="http://schemas.openxmlformats.org/officeDocument/2006/relationships" ref="L29" r:id="rId75"/>
    <hyperlink xmlns:r="http://schemas.openxmlformats.org/officeDocument/2006/relationships" ref="AC29" r:id="rId76"/>
    <hyperlink xmlns:r="http://schemas.openxmlformats.org/officeDocument/2006/relationships" ref="I30" r:id="rId77"/>
    <hyperlink xmlns:r="http://schemas.openxmlformats.org/officeDocument/2006/relationships" ref="L30" r:id="rId78"/>
    <hyperlink xmlns:r="http://schemas.openxmlformats.org/officeDocument/2006/relationships" ref="AC30" r:id="rId79"/>
    <hyperlink xmlns:r="http://schemas.openxmlformats.org/officeDocument/2006/relationships" ref="I31" r:id="rId80"/>
    <hyperlink xmlns:r="http://schemas.openxmlformats.org/officeDocument/2006/relationships" ref="L31" r:id="rId81"/>
    <hyperlink xmlns:r="http://schemas.openxmlformats.org/officeDocument/2006/relationships" ref="R31" r:id="rId82"/>
    <hyperlink xmlns:r="http://schemas.openxmlformats.org/officeDocument/2006/relationships" ref="AC31" r:id="rId83"/>
    <hyperlink xmlns:r="http://schemas.openxmlformats.org/officeDocument/2006/relationships" ref="I32" r:id="rId84"/>
    <hyperlink xmlns:r="http://schemas.openxmlformats.org/officeDocument/2006/relationships" ref="L32" r:id="rId85"/>
    <hyperlink xmlns:r="http://schemas.openxmlformats.org/officeDocument/2006/relationships" ref="O32" r:id="rId86"/>
    <hyperlink xmlns:r="http://schemas.openxmlformats.org/officeDocument/2006/relationships" ref="R32" r:id="rId87"/>
    <hyperlink xmlns:r="http://schemas.openxmlformats.org/officeDocument/2006/relationships" ref="AC32" r:id="rId88"/>
    <hyperlink xmlns:r="http://schemas.openxmlformats.org/officeDocument/2006/relationships" ref="I33" r:id="rId89"/>
    <hyperlink xmlns:r="http://schemas.openxmlformats.org/officeDocument/2006/relationships" ref="L33" r:id="rId90"/>
    <hyperlink xmlns:r="http://schemas.openxmlformats.org/officeDocument/2006/relationships" ref="AC33" r:id="rId91"/>
    <hyperlink xmlns:r="http://schemas.openxmlformats.org/officeDocument/2006/relationships" ref="I34" r:id="rId92"/>
    <hyperlink xmlns:r="http://schemas.openxmlformats.org/officeDocument/2006/relationships" ref="L34" r:id="rId93"/>
    <hyperlink xmlns:r="http://schemas.openxmlformats.org/officeDocument/2006/relationships" ref="R34" r:id="rId94"/>
    <hyperlink xmlns:r="http://schemas.openxmlformats.org/officeDocument/2006/relationships" ref="AC34" r:id="rId95"/>
    <hyperlink xmlns:r="http://schemas.openxmlformats.org/officeDocument/2006/relationships" ref="I35" r:id="rId96"/>
    <hyperlink xmlns:r="http://schemas.openxmlformats.org/officeDocument/2006/relationships" ref="AC35" r:id="rId97"/>
    <hyperlink xmlns:r="http://schemas.openxmlformats.org/officeDocument/2006/relationships" ref="AC36" r:id="rId98"/>
    <hyperlink xmlns:r="http://schemas.openxmlformats.org/officeDocument/2006/relationships" ref="AC37" r:id="rId99"/>
    <hyperlink xmlns:r="http://schemas.openxmlformats.org/officeDocument/2006/relationships" ref="AC38" r:id="rId100"/>
    <hyperlink xmlns:r="http://schemas.openxmlformats.org/officeDocument/2006/relationships" ref="I39" r:id="rId101"/>
    <hyperlink xmlns:r="http://schemas.openxmlformats.org/officeDocument/2006/relationships" ref="I40" r:id="rId102"/>
    <hyperlink xmlns:r="http://schemas.openxmlformats.org/officeDocument/2006/relationships" ref="I41" r:id="rId103"/>
    <hyperlink xmlns:r="http://schemas.openxmlformats.org/officeDocument/2006/relationships" ref="I42" r:id="rId104"/>
    <hyperlink xmlns:r="http://schemas.openxmlformats.org/officeDocument/2006/relationships" ref="I43" r:id="rId105"/>
    <hyperlink xmlns:r="http://schemas.openxmlformats.org/officeDocument/2006/relationships" ref="I44" r:id="rId106"/>
    <hyperlink xmlns:r="http://schemas.openxmlformats.org/officeDocument/2006/relationships" ref="AC44" r:id="rId107"/>
    <hyperlink xmlns:r="http://schemas.openxmlformats.org/officeDocument/2006/relationships" ref="I45" r:id="rId108"/>
    <hyperlink xmlns:r="http://schemas.openxmlformats.org/officeDocument/2006/relationships" ref="AC45" r:id="rId109"/>
    <hyperlink xmlns:r="http://schemas.openxmlformats.org/officeDocument/2006/relationships" ref="L46" r:id="rId110"/>
    <hyperlink xmlns:r="http://schemas.openxmlformats.org/officeDocument/2006/relationships" ref="AC46" r:id="rId111"/>
    <hyperlink xmlns:r="http://schemas.openxmlformats.org/officeDocument/2006/relationships" ref="L47" r:id="rId112"/>
    <hyperlink xmlns:r="http://schemas.openxmlformats.org/officeDocument/2006/relationships" ref="AC47" r:id="rId113"/>
    <hyperlink xmlns:r="http://schemas.openxmlformats.org/officeDocument/2006/relationships" ref="L48" r:id="rId114"/>
    <hyperlink xmlns:r="http://schemas.openxmlformats.org/officeDocument/2006/relationships" ref="AC48" r:id="rId115"/>
    <hyperlink xmlns:r="http://schemas.openxmlformats.org/officeDocument/2006/relationships" ref="I49" r:id="rId116"/>
    <hyperlink xmlns:r="http://schemas.openxmlformats.org/officeDocument/2006/relationships" ref="AC49" r:id="rId117"/>
    <hyperlink xmlns:r="http://schemas.openxmlformats.org/officeDocument/2006/relationships" ref="I50" r:id="rId118"/>
    <hyperlink xmlns:r="http://schemas.openxmlformats.org/officeDocument/2006/relationships" ref="L51" r:id="rId119"/>
    <hyperlink xmlns:r="http://schemas.openxmlformats.org/officeDocument/2006/relationships" ref="I52" r:id="rId120"/>
    <hyperlink xmlns:r="http://schemas.openxmlformats.org/officeDocument/2006/relationships" ref="AC53" r:id="rId121"/>
    <hyperlink xmlns:r="http://schemas.openxmlformats.org/officeDocument/2006/relationships" ref="AC54" r:id="rId122"/>
    <hyperlink xmlns:r="http://schemas.openxmlformats.org/officeDocument/2006/relationships" ref="AC55" r:id="rId123"/>
    <hyperlink xmlns:r="http://schemas.openxmlformats.org/officeDocument/2006/relationships" ref="L56" r:id="rId124"/>
    <hyperlink xmlns:r="http://schemas.openxmlformats.org/officeDocument/2006/relationships" ref="AC56" r:id="rId125"/>
    <hyperlink xmlns:r="http://schemas.openxmlformats.org/officeDocument/2006/relationships" ref="L57" r:id="rId126"/>
    <hyperlink xmlns:r="http://schemas.openxmlformats.org/officeDocument/2006/relationships" ref="AC57" r:id="rId127"/>
    <hyperlink xmlns:r="http://schemas.openxmlformats.org/officeDocument/2006/relationships" ref="AC58" r:id="rId128"/>
    <hyperlink xmlns:r="http://schemas.openxmlformats.org/officeDocument/2006/relationships" ref="L59" r:id="rId129"/>
    <hyperlink xmlns:r="http://schemas.openxmlformats.org/officeDocument/2006/relationships" ref="AC59" r:id="rId130"/>
    <hyperlink xmlns:r="http://schemas.openxmlformats.org/officeDocument/2006/relationships" ref="I60" r:id="rId131"/>
    <hyperlink xmlns:r="http://schemas.openxmlformats.org/officeDocument/2006/relationships" ref="L60" r:id="rId132"/>
    <hyperlink xmlns:r="http://schemas.openxmlformats.org/officeDocument/2006/relationships" ref="AC60" r:id="rId133"/>
    <hyperlink xmlns:r="http://schemas.openxmlformats.org/officeDocument/2006/relationships" ref="AC61" r:id="rId134"/>
    <hyperlink xmlns:r="http://schemas.openxmlformats.org/officeDocument/2006/relationships" ref="L62" r:id="rId135"/>
    <hyperlink xmlns:r="http://schemas.openxmlformats.org/officeDocument/2006/relationships" ref="AC62" r:id="rId13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showGridLines="0" workbookViewId="0">
      <pane ySplit="4" topLeftCell="A5" activePane="bottomLeft" state="frozen"/>
      <selection pane="bottomLeft" activeCell="A1" sqref="A1"/>
    </sheetView>
  </sheetViews>
  <sheetFormatPr baseColWidth="8" defaultRowHeight="15"/>
  <cols>
    <col width="8" customWidth="1" min="1" max="1"/>
    <col width="32" customWidth="1" min="2" max="2"/>
    <col width="8" customWidth="1" min="3" max="3"/>
    <col width="16" customWidth="1" min="4" max="4"/>
    <col width="16" customWidth="1" min="5" max="5"/>
    <col width="40" customWidth="1" min="6" max="6"/>
    <col width="40" customWidth="1" min="7" max="7"/>
    <col width="25" customWidth="1" min="8" max="8"/>
    <col width="16" customWidth="1" min="9" max="9"/>
  </cols>
  <sheetData>
    <row r="1" ht="24" customHeight="1">
      <c r="A1" s="167" t="inlineStr">
        <is>
          <t>MB Car Audio — received quote evidence 2026-09-10</t>
        </is>
      </c>
    </row>
    <row r="2" ht="35" customHeight="1">
      <c r="A2" s="168" t="inlineStr">
        <is>
          <t>Transcribed from the supplied cart screenshot. Hardware only; no cables, damping, mounting/consumables or labour. Installation will be performed by the owner.</t>
        </is>
      </c>
    </row>
    <row r="4" ht="32" customHeight="1">
      <c r="A4" s="169" t="inlineStr">
        <is>
          <t>Line</t>
        </is>
      </c>
      <c r="B4" s="169" t="inlineStr">
        <is>
          <t>Product</t>
        </is>
      </c>
      <c r="C4" s="169" t="inlineStr">
        <is>
          <t>Qty</t>
        </is>
      </c>
      <c r="D4" s="169" t="inlineStr">
        <is>
          <t>Quoted unit €</t>
        </is>
      </c>
      <c r="E4" s="169" t="inlineStr">
        <is>
          <t>Quoted line €</t>
        </is>
      </c>
      <c r="F4" s="169" t="inlineStr">
        <is>
          <t>Role / note</t>
        </is>
      </c>
      <c r="G4" s="169" t="inlineStr">
        <is>
          <t>Evidence</t>
        </is>
      </c>
      <c r="H4" s="169" t="inlineStr">
        <is>
          <t>Quote scope</t>
        </is>
      </c>
      <c r="I4" s="169" t="inlineStr">
        <is>
          <t>Status</t>
        </is>
      </c>
    </row>
    <row r="5" ht="42" customHeight="1">
      <c r="A5" s="15" t="n">
        <v>1</v>
      </c>
      <c r="B5" s="15" t="inlineStr">
        <is>
          <t>Focal IW T3Y 200</t>
        </is>
      </c>
      <c r="C5" s="15" t="n">
        <v>1</v>
      </c>
      <c r="D5" s="29" t="n">
        <v>459</v>
      </c>
      <c r="E5" s="29">
        <f>C5*D5</f>
        <v/>
      </c>
      <c r="F5" s="15" t="inlineStr">
        <is>
          <t>Front woofer-set</t>
        </is>
      </c>
      <c r="G5" s="15" t="inlineStr">
        <is>
          <t>MB_Car_Audio_quote_cart_2026-09-10.png</t>
        </is>
      </c>
      <c r="H5" s="15" t="inlineStr">
        <is>
          <t>Hardware only</t>
        </is>
      </c>
      <c r="I5" s="15" t="inlineStr">
        <is>
          <t>RECEIVED</t>
        </is>
      </c>
    </row>
    <row r="6" ht="42" customHeight="1">
      <c r="A6" s="15" t="n">
        <v>2</v>
      </c>
      <c r="B6" s="15" t="inlineStr">
        <is>
          <t>Focal ICC T3Y 100</t>
        </is>
      </c>
      <c r="C6" s="15" t="n">
        <v>1</v>
      </c>
      <c r="D6" s="29" t="n">
        <v>179</v>
      </c>
      <c r="E6" s="29">
        <f>C6*D6</f>
        <v/>
      </c>
      <c r="F6" s="15" t="inlineStr">
        <is>
          <t>Dashboard center</t>
        </is>
      </c>
      <c r="G6" s="15" t="inlineStr">
        <is>
          <t>MB_Car_Audio_quote_cart_2026-09-10.png</t>
        </is>
      </c>
      <c r="H6" s="15" t="inlineStr">
        <is>
          <t>Hardware only</t>
        </is>
      </c>
      <c r="I6" s="15" t="inlineStr">
        <is>
          <t>RECEIVED</t>
        </is>
      </c>
    </row>
    <row r="7" ht="42" customHeight="1">
      <c r="A7" s="15" t="n">
        <v>3</v>
      </c>
      <c r="B7" s="15" t="inlineStr">
        <is>
          <t>Focal IC T3Y 100</t>
        </is>
      </c>
      <c r="C7" s="15" t="n">
        <v>1</v>
      </c>
      <c r="D7" s="29" t="n">
        <v>319</v>
      </c>
      <c r="E7" s="29">
        <f>C7*D7</f>
        <v/>
      </c>
      <c r="F7" s="15" t="inlineStr">
        <is>
          <t>Rear / coaxial set</t>
        </is>
      </c>
      <c r="G7" s="15" t="inlineStr">
        <is>
          <t>MB_Car_Audio_quote_cart_2026-09-10.png</t>
        </is>
      </c>
      <c r="H7" s="15" t="inlineStr">
        <is>
          <t>Hardware only</t>
        </is>
      </c>
      <c r="I7" s="15" t="inlineStr">
        <is>
          <t>RECEIVED</t>
        </is>
      </c>
    </row>
    <row r="8" ht="42" customHeight="1">
      <c r="A8" s="15" t="n">
        <v>4</v>
      </c>
      <c r="B8" s="15" t="inlineStr">
        <is>
          <t>Focal IS T3Y 100</t>
        </is>
      </c>
      <c r="C8" s="15" t="n">
        <v>1</v>
      </c>
      <c r="D8" s="29" t="n">
        <v>369</v>
      </c>
      <c r="E8" s="29">
        <f>C8*D8</f>
        <v/>
      </c>
      <c r="F8" s="15" t="inlineStr">
        <is>
          <t>Front mids + tweeters</t>
        </is>
      </c>
      <c r="G8" s="15" t="inlineStr">
        <is>
          <t>MB_Car_Audio_quote_cart_2026-09-10.png</t>
        </is>
      </c>
      <c r="H8" s="15" t="inlineStr">
        <is>
          <t>Hardware only</t>
        </is>
      </c>
      <c r="I8" s="15" t="inlineStr">
        <is>
          <t>RECEIVED</t>
        </is>
      </c>
    </row>
    <row r="9" ht="42" customHeight="1">
      <c r="A9" s="15" t="n">
        <v>5</v>
      </c>
      <c r="B9" s="15" t="inlineStr">
        <is>
          <t>MATCH PP-TES 1.7B Highland</t>
        </is>
      </c>
      <c r="C9" s="15" t="n">
        <v>1</v>
      </c>
      <c r="D9" s="29" t="n">
        <v>139.95</v>
      </c>
      <c r="E9" s="29">
        <f>C9*D9</f>
        <v/>
      </c>
      <c r="F9" s="15" t="inlineStr">
        <is>
          <t>Tesla signal interposer / harness basis</t>
        </is>
      </c>
      <c r="G9" s="15" t="inlineStr">
        <is>
          <t>MB_Car_Audio_quote_cart_2026-09-10.png</t>
        </is>
      </c>
      <c r="H9" s="15" t="inlineStr">
        <is>
          <t>Hardware only</t>
        </is>
      </c>
      <c r="I9" s="15" t="inlineStr">
        <is>
          <t>RECEIVED</t>
        </is>
      </c>
    </row>
    <row r="10" ht="42" customHeight="1">
      <c r="A10" s="15" t="n">
        <v>6</v>
      </c>
      <c r="B10" s="15" t="inlineStr">
        <is>
          <t>Audison AF M8.14 bit</t>
        </is>
      </c>
      <c r="C10" s="15" t="n">
        <v>1</v>
      </c>
      <c r="D10" s="29" t="n">
        <v>1199</v>
      </c>
      <c r="E10" s="29">
        <f>C10*D10</f>
        <v/>
      </c>
      <c r="F10" s="15" t="inlineStr">
        <is>
          <t>Alles vóór de voorstoelen / front stage DSP + amplification</t>
        </is>
      </c>
      <c r="G10" s="15" t="inlineStr">
        <is>
          <t>MB_Car_Audio_quote_cart_2026-09-10.png</t>
        </is>
      </c>
      <c r="H10" s="15" t="inlineStr">
        <is>
          <t>Hardware only</t>
        </is>
      </c>
      <c r="I10" s="15" t="inlineStr">
        <is>
          <t>RECEIVED</t>
        </is>
      </c>
    </row>
    <row r="11" ht="42" customHeight="1">
      <c r="A11" s="15" t="n">
        <v>7</v>
      </c>
      <c r="B11" s="15" t="inlineStr">
        <is>
          <t>Audison AF M4D</t>
        </is>
      </c>
      <c r="C11" s="15" t="n">
        <v>1</v>
      </c>
      <c r="D11" s="29" t="n">
        <v>599</v>
      </c>
      <c r="E11" s="29">
        <f>C11*D11</f>
        <v/>
      </c>
      <c r="F11" s="15" t="inlineStr">
        <is>
          <t>Alles achter de voorstoelen: rear woofers, rear mids, optionele rear tweeters</t>
        </is>
      </c>
      <c r="G11" s="15" t="inlineStr">
        <is>
          <t>MB_Car_Audio_quote_cart_2026-09-10.png</t>
        </is>
      </c>
      <c r="H11" s="15" t="inlineStr">
        <is>
          <t>Hardware only</t>
        </is>
      </c>
      <c r="I11" s="15" t="inlineStr">
        <is>
          <t>RECEIVED</t>
        </is>
      </c>
    </row>
    <row r="12" ht="42" customHeight="1">
      <c r="A12" s="15" t="n">
        <v>8</v>
      </c>
      <c r="B12" s="15" t="inlineStr">
        <is>
          <t>Audison AF M1D</t>
        </is>
      </c>
      <c r="C12" s="15" t="n">
        <v>1</v>
      </c>
      <c r="D12" s="29" t="n">
        <v>599</v>
      </c>
      <c r="E12" s="29">
        <f>C12*D12</f>
        <v/>
      </c>
      <c r="F12" s="15" t="inlineStr">
        <is>
          <t>Pioneer donor subwoofers</t>
        </is>
      </c>
      <c r="G12" s="15" t="inlineStr">
        <is>
          <t>MB_Car_Audio_quote_cart_2026-09-10.png</t>
        </is>
      </c>
      <c r="H12" s="15" t="inlineStr">
        <is>
          <t>Hardware only</t>
        </is>
      </c>
      <c r="I12" s="15" t="inlineStr">
        <is>
          <t>RECEIVED</t>
        </is>
      </c>
    </row>
    <row r="13" ht="42" customHeight="1">
      <c r="A13" s="15" t="n">
        <v>9</v>
      </c>
      <c r="B13" s="15" t="inlineStr">
        <is>
          <t>Audison AF LINK</t>
        </is>
      </c>
      <c r="C13" s="15" t="n">
        <v>1</v>
      </c>
      <c r="D13" s="29" t="n">
        <v>18.95</v>
      </c>
      <c r="E13" s="29">
        <f>C13*D13</f>
        <v/>
      </c>
      <c r="F13" s="15" t="inlineStr">
        <is>
          <t>AF bit DSP OUT → AF D PRE IN</t>
        </is>
      </c>
      <c r="G13" s="15" t="inlineStr">
        <is>
          <t>MB_Car_Audio_quote_cart_2026-09-10.png</t>
        </is>
      </c>
      <c r="H13" s="15" t="inlineStr">
        <is>
          <t>Hardware only</t>
        </is>
      </c>
      <c r="I13" s="15" t="inlineStr">
        <is>
          <t>RECEIVED</t>
        </is>
      </c>
    </row>
    <row r="14" ht="42" customHeight="1">
      <c r="A14" s="15" t="n">
        <v>10</v>
      </c>
      <c r="B14" s="15" t="inlineStr">
        <is>
          <t>Audison DRC AC</t>
        </is>
      </c>
      <c r="C14" s="15" t="n">
        <v>1</v>
      </c>
      <c r="D14" s="29" t="n">
        <v>129</v>
      </c>
      <c r="E14" s="29">
        <f>C14*D14</f>
        <v/>
      </c>
      <c r="F14" s="15" t="inlineStr">
        <is>
          <t>Master/sub/source/preset control</t>
        </is>
      </c>
      <c r="G14" s="15" t="inlineStr">
        <is>
          <t>MB_Car_Audio_quote_cart_2026-09-10.png</t>
        </is>
      </c>
      <c r="H14" s="15" t="inlineStr">
        <is>
          <t>Hardware only</t>
        </is>
      </c>
      <c r="I14" s="15" t="inlineStr">
        <is>
          <t>RECEIVED</t>
        </is>
      </c>
    </row>
    <row r="15">
      <c r="C15" s="35" t="inlineStr">
        <is>
          <t>TOTAL</t>
        </is>
      </c>
      <c r="D15" s="177">
        <f>SUM(E5:E14)</f>
        <v/>
      </c>
    </row>
    <row r="17">
      <c r="A17" s="178" t="inlineStr">
        <is>
          <t>Scope confirmation</t>
        </is>
      </c>
      <c r="B17" s="42" t="inlineStr">
        <is>
          <t>EUR 4,010.90 is hardware only. Cabling, fusing/distribution, damping, mounting/consumable material and labour are excluded. DIY installation.</t>
        </is>
      </c>
    </row>
  </sheetData>
  <autoFilter ref="A4:I14"/>
  <mergeCells count="3">
    <mergeCell ref="A1:I1"/>
    <mergeCell ref="A2:I2"/>
    <mergeCell ref="B17:I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6"/>
  <sheetViews>
    <sheetView showGridLines="0" workbookViewId="0">
      <pane ySplit="4" topLeftCell="A5" activePane="bottomLeft" state="frozen"/>
      <selection pane="bottomLeft" activeCell="A1" sqref="A1"/>
    </sheetView>
  </sheetViews>
  <sheetFormatPr baseColWidth="8" defaultRowHeight="15"/>
  <cols>
    <col width="11" customWidth="1" min="1" max="1"/>
    <col width="20" customWidth="1" min="2" max="2"/>
    <col width="11" customWidth="1" min="3" max="3"/>
    <col width="12" customWidth="1" min="4" max="4"/>
    <col width="27" customWidth="1" min="5" max="5"/>
    <col width="34" customWidth="1" min="6" max="6"/>
    <col width="11" customWidth="1" min="7" max="7"/>
    <col width="30" customWidth="1" min="8" max="8"/>
    <col width="30" customWidth="1" min="9" max="9"/>
    <col width="28" customWidth="1" min="10" max="10"/>
    <col width="16" customWidth="1" min="11" max="11"/>
    <col width="16" customWidth="1" min="12" max="12"/>
    <col width="17" customWidth="1" min="13" max="13"/>
    <col width="16" customWidth="1" min="14" max="14"/>
    <col width="55" customWidth="1" min="15" max="15"/>
    <col width="50" customWidth="1" min="16" max="16"/>
  </cols>
  <sheetData>
    <row r="1" ht="28" customHeight="1">
      <c r="A1" s="1" t="inlineStr">
        <is>
          <t>Aanbevolen BOM – 15 cabin speakers</t>
        </is>
      </c>
    </row>
    <row r="2" ht="30" customHeight="1">
      <c r="A2" s="2" t="inlineStr">
        <is>
          <t>Recommended cabin baseline retained. Existing Pioneer TS-WX1220AH donor subsystem is now explicitly documented outside the cabin-speaker count; original enclosure is not used. Pioneer LV compatibility remains an open power-design gate.</t>
        </is>
      </c>
    </row>
    <row r="4">
      <c r="A4" s="14" t="inlineStr">
        <is>
          <t>ID</t>
        </is>
      </c>
      <c r="B4" s="14" t="inlineStr">
        <is>
          <t>Categorie</t>
        </is>
      </c>
      <c r="C4" s="14" t="inlineStr">
        <is>
          <t>Aantal sets</t>
        </is>
      </c>
      <c r="D4" s="14" t="inlineStr">
        <is>
          <t>Speakers in set</t>
        </is>
      </c>
      <c r="E4" s="14" t="inlineStr">
        <is>
          <t>Tesla locatie / functie</t>
        </is>
      </c>
      <c r="F4" s="14" t="inlineStr">
        <is>
          <t>Merk / model</t>
        </is>
      </c>
      <c r="G4" s="14" t="inlineStr">
        <is>
          <t>Impedantie</t>
        </is>
      </c>
      <c r="H4" s="14" t="inlineStr">
        <is>
          <t>RMS / spec</t>
        </is>
      </c>
      <c r="I4" s="14" t="inlineStr">
        <is>
          <t>Fitment / adapter</t>
        </is>
      </c>
      <c r="J4" s="14" t="inlineStr">
        <is>
          <t>Aansturing</t>
        </is>
      </c>
      <c r="K4" s="14" t="inlineStr">
        <is>
          <t>Regio koopadvies</t>
        </is>
      </c>
      <c r="L4" s="14" t="inlineStr">
        <is>
          <t>Eenheidsprijs EUR</t>
        </is>
      </c>
      <c r="M4" s="14" t="inlineStr">
        <is>
          <t>Prijsstatus</t>
        </is>
      </c>
      <c r="N4" s="14" t="inlineStr">
        <is>
          <t>Regeltotaal EUR</t>
        </is>
      </c>
      <c r="O4" s="14" t="inlineStr">
        <is>
          <t>Bron / URL</t>
        </is>
      </c>
      <c r="P4" s="14" t="inlineStr">
        <is>
          <t>Opmerking</t>
        </is>
      </c>
    </row>
    <row r="5">
      <c r="A5" s="15" t="inlineStr">
        <is>
          <t>DSP-01</t>
        </is>
      </c>
      <c r="B5" s="15" t="inlineStr">
        <is>
          <t>DSP/versterker</t>
        </is>
      </c>
      <c r="C5" s="15" t="n">
        <v>1</v>
      </c>
      <c r="D5" s="15" t="n">
        <v>0</v>
      </c>
      <c r="E5" s="15" t="inlineStr">
        <is>
          <t>Cabin amplification / processing</t>
        </is>
      </c>
      <c r="F5" s="15" t="inlineStr">
        <is>
          <t>Audison Forza AF M12.14 bit</t>
        </is>
      </c>
      <c r="G5" s="15" t="inlineStr">
        <is>
          <t>2–4 Ω</t>
        </is>
      </c>
      <c r="H5" s="15" t="inlineStr">
        <is>
          <t>12×60 W @4Ω; 12×90 W @2Ω; 14ch DSP</t>
        </is>
      </c>
      <c r="I5" s="15" t="inlineStr">
        <is>
          <t>Universeel; custom Tesla T-harness</t>
        </is>
      </c>
      <c r="J5" s="15" t="inlineStr">
        <is>
          <t>11 cabin amp-kanalen + DSP OUT naar Pioneer</t>
        </is>
      </c>
      <c r="K5" s="15" t="inlineStr">
        <is>
          <t>DE/NL</t>
        </is>
      </c>
      <c r="L5" s="16" t="n">
        <v>1290</v>
      </c>
      <c r="M5" s="15" t="inlineStr">
        <is>
          <t>Verified current</t>
        </is>
      </c>
      <c r="N5" s="17">
        <f>C5*L5</f>
        <v/>
      </c>
      <c r="O5" s="18" t="inlineStr">
        <is>
          <t>12 versterkte kanalen; 6 DSP OUT kanalen; 1 kanaal reserve in voorgestelde map.</t>
        </is>
      </c>
      <c r="P5" s="15" t="n"/>
    </row>
    <row r="6">
      <c r="A6" s="15" t="inlineStr">
        <is>
          <t>CTRL-01</t>
        </is>
      </c>
      <c r="B6" s="15" t="inlineStr">
        <is>
          <t>Displaycontroller</t>
        </is>
      </c>
      <c r="C6" s="15" t="n">
        <v>1</v>
      </c>
      <c r="D6" s="15" t="n">
        <v>0</v>
      </c>
      <c r="E6" s="15" t="inlineStr">
        <is>
          <t>Bestuurdersbediening</t>
        </is>
      </c>
      <c r="F6" s="15" t="inlineStr">
        <is>
          <t>Audison DRC MP CAN</t>
        </is>
      </c>
      <c r="G6" s="15" t="inlineStr">
        <is>
          <t>n.v.t.</t>
        </is>
      </c>
      <c r="H6" s="15" t="inlineStr">
        <is>
          <t>OLED; 6 DSP memories; master/sub volume</t>
        </is>
      </c>
      <c r="I6" s="15" t="inlineStr">
        <is>
          <t>DRCC aansluiting op Forza</t>
        </is>
      </c>
      <c r="J6" s="15" t="inlineStr">
        <is>
          <t>DSP control</t>
        </is>
      </c>
      <c r="K6" s="15" t="inlineStr">
        <is>
          <t>NL</t>
        </is>
      </c>
      <c r="L6" s="16" t="n">
        <v>179</v>
      </c>
      <c r="M6" s="15" t="inlineStr">
        <is>
          <t>Verified current</t>
        </is>
      </c>
      <c r="N6" s="17">
        <f>C6*L6</f>
        <v/>
      </c>
      <c r="O6" s="18" t="inlineStr">
        <is>
          <t>Officieel geschikt voor AF M12.14 bit.</t>
        </is>
      </c>
      <c r="P6" s="15" t="n"/>
    </row>
    <row r="7">
      <c r="A7" s="15" t="inlineStr">
        <is>
          <t>HAR-01</t>
        </is>
      </c>
      <c r="B7" s="15" t="inlineStr">
        <is>
          <t>Tesla T-harness</t>
        </is>
      </c>
      <c r="C7" s="15" t="n">
        <v>1</v>
      </c>
      <c r="D7" s="15" t="n">
        <v>0</v>
      </c>
      <c r="E7" s="15" t="inlineStr">
        <is>
          <t>OEM 16-pin Tesla interposer</t>
        </is>
      </c>
      <c r="F7" s="15" t="inlineStr">
        <is>
          <t>MATCH PP-TES 1.7B Highland</t>
        </is>
      </c>
      <c r="G7" s="15" t="inlineStr">
        <is>
          <t>n.v.t.</t>
        </is>
      </c>
      <c r="H7" s="15" t="inlineStr">
        <is>
          <t>Tesla 16-pin plug/socket + Molex breakout</t>
        </is>
      </c>
      <c r="I7" s="15" t="inlineStr">
        <is>
          <t>Direct passend aan Tesla; Audison-zijde repinnen</t>
        </is>
      </c>
      <c r="J7" s="15" t="inlineStr">
        <is>
          <t>Signal in/out interposer</t>
        </is>
      </c>
      <c r="K7" s="15" t="inlineStr">
        <is>
          <t>DE/NL</t>
        </is>
      </c>
      <c r="L7" s="16" t="n">
        <v>129</v>
      </c>
      <c r="M7" s="15" t="inlineStr">
        <is>
          <t>Verified current</t>
        </is>
      </c>
      <c r="N7" s="17">
        <f>C7*L7</f>
        <v/>
      </c>
      <c r="O7" s="18" t="inlineStr">
        <is>
          <t>Fabrikant bedoelt hem voor MATCH UP10; in deze BOM alleen donor/no-cut interposer. Niet direct PnP naar Audison.</t>
        </is>
      </c>
      <c r="P7" s="15" t="n"/>
    </row>
    <row r="8">
      <c r="A8" s="15" t="inlineStr">
        <is>
          <t>SPK-01</t>
        </is>
      </c>
      <c r="B8" s="15" t="inlineStr">
        <is>
          <t>Front speakerkit</t>
        </is>
      </c>
      <c r="C8" s="15" t="n">
        <v>1</v>
      </c>
      <c r="D8" s="15" t="n">
        <v>7</v>
      </c>
      <c r="E8" s="15" t="inlineStr">
        <is>
          <t>Front doors + dash L/C/R</t>
        </is>
      </c>
      <c r="F8" s="15" t="inlineStr">
        <is>
          <t>HELIX Compose Ci3 K200.2TES4 Highland</t>
        </is>
      </c>
      <c r="G8" s="15" t="inlineStr">
        <is>
          <t>3 Ω</t>
        </is>
      </c>
      <c r="H8" s="15" t="inlineStr">
        <is>
          <t>2×W200 + 2×M100 + 2×T20 + 1×C100</t>
        </is>
      </c>
      <c r="I8" s="15" t="inlineStr">
        <is>
          <t>Highland FlexMount + connector kits inbegrepen</t>
        </is>
      </c>
      <c r="J8" s="15" t="inlineStr">
        <is>
          <t>5 amp-kanalen door passieve L/R mid+tweeter XO</t>
        </is>
      </c>
      <c r="K8" s="15" t="inlineStr">
        <is>
          <t>DE</t>
        </is>
      </c>
      <c r="L8" s="16" t="n">
        <v>729</v>
      </c>
      <c r="M8" s="15" t="inlineStr">
        <is>
          <t>Verified current</t>
        </is>
      </c>
      <c r="N8" s="17">
        <f>C8*L8</f>
        <v/>
      </c>
      <c r="O8" s="18" t="inlineStr">
        <is>
          <t>Exact Highland kit; geïntegreerde 6 dB crossover voor HT/MT.</t>
        </is>
      </c>
      <c r="P8" s="15" t="n"/>
    </row>
    <row r="9">
      <c r="A9" s="15" t="inlineStr">
        <is>
          <t>SPK-02</t>
        </is>
      </c>
      <c r="B9" s="15" t="inlineStr">
        <is>
          <t>Premium front mids</t>
        </is>
      </c>
      <c r="C9" s="15" t="n">
        <v>1</v>
      </c>
      <c r="D9" s="15" t="n">
        <v>2</v>
      </c>
      <c r="E9" s="15" t="inlineStr">
        <is>
          <t>Front doors 80 mm L/R</t>
        </is>
      </c>
      <c r="F9" s="15" t="inlineStr">
        <is>
          <t>HELIX Ci5 M80FM-S3</t>
        </is>
      </c>
      <c r="G9" s="15" t="inlineStr">
        <is>
          <t>3 Ω</t>
        </is>
      </c>
      <c r="H9" s="15" t="inlineStr">
        <is>
          <t>80 mm; advanced midrange</t>
        </is>
      </c>
      <c r="I9" s="15" t="inlineStr">
        <is>
          <t>Custom/FlexMount80 Tesla adapter vereist</t>
        </is>
      </c>
      <c r="J9" s="15" t="inlineStr">
        <is>
          <t>2 Audison kanalen L/R</t>
        </is>
      </c>
      <c r="K9" s="15" t="inlineStr">
        <is>
          <t>DE/FR</t>
        </is>
      </c>
      <c r="L9" s="16" t="n">
        <v>199</v>
      </c>
      <c r="M9" s="15" t="inlineStr">
        <is>
          <t>Verified current</t>
        </is>
      </c>
      <c r="N9" s="17">
        <f>C9*L9</f>
        <v/>
      </c>
      <c r="O9" s="18" t="inlineStr">
        <is>
          <t>Fysieke Highland 80mm adapter nog verifiëren.</t>
        </is>
      </c>
      <c r="P9" s="15" t="n"/>
    </row>
    <row r="10">
      <c r="A10" s="78" t="inlineStr">
        <is>
          <t>SPK-03</t>
        </is>
      </c>
      <c r="B10" s="78" t="inlineStr">
        <is>
          <t>Headliner</t>
        </is>
      </c>
      <c r="C10" s="78" t="n">
        <v>1</v>
      </c>
      <c r="D10" s="78" t="n">
        <v>2</v>
      </c>
      <c r="E10" s="78" t="inlineStr">
        <is>
          <t>Headliner L/R</t>
        </is>
      </c>
      <c r="F10" s="78" t="inlineStr">
        <is>
          <t>HELIX Ci5 M50FM-S3</t>
        </is>
      </c>
      <c r="G10" s="78" t="inlineStr">
        <is>
          <t>3 Ω</t>
        </is>
      </c>
      <c r="H10" s="78" t="inlineStr">
        <is>
          <t>50 mm full-range</t>
        </is>
      </c>
      <c r="I10" s="78" t="inlineStr">
        <is>
          <t>Custom 60→50 mm adapter/pigtail</t>
        </is>
      </c>
      <c r="J10" s="78" t="inlineStr">
        <is>
          <t>AUX 2ch amplifier via Audison DSP OUT</t>
        </is>
      </c>
      <c r="K10" s="78" t="inlineStr">
        <is>
          <t>DE/FR</t>
        </is>
      </c>
      <c r="L10" s="79" t="n">
        <v>169</v>
      </c>
      <c r="M10" s="78" t="inlineStr">
        <is>
          <t>Verified current</t>
        </is>
      </c>
      <c r="N10" s="80">
        <f>C10*L10</f>
        <v/>
      </c>
      <c r="O10" s="81" t="inlineStr">
        <is>
          <t>Bewust op OEM-kanalen om nieuw DSP-kanaalbudget vrij te houden.</t>
        </is>
      </c>
      <c r="P10" s="78" t="inlineStr">
        <is>
          <t>SOP9 correction retained: X569/X579 are PAUDIO-only. Use AUX 2ch from DSP OUT unless PAUDIO output/wiring is proven.</t>
        </is>
      </c>
    </row>
    <row r="11">
      <c r="A11" s="15" t="inlineStr">
        <is>
          <t>SPK-04</t>
        </is>
      </c>
      <c r="B11" s="15" t="inlineStr">
        <is>
          <t>Rear doors</t>
        </is>
      </c>
      <c r="C11" s="15" t="n">
        <v>1</v>
      </c>
      <c r="D11" s="15" t="n">
        <v>2</v>
      </c>
      <c r="E11" s="15" t="inlineStr">
        <is>
          <t>Rear doors L/R</t>
        </is>
      </c>
      <c r="F11" s="15" t="inlineStr">
        <is>
          <t>HELIX Ci3 M100FM-S3</t>
        </is>
      </c>
      <c r="G11" s="15" t="inlineStr">
        <is>
          <t>3 Ω</t>
        </is>
      </c>
      <c r="H11" s="15" t="inlineStr">
        <is>
          <t>100 mm; 80 W RMS</t>
        </is>
      </c>
      <c r="I11" s="15" t="inlineStr">
        <is>
          <t>Tesla adapter/pigtail vereist</t>
        </is>
      </c>
      <c r="J11" s="15" t="inlineStr">
        <is>
          <t>2 Audison kanalen L/R</t>
        </is>
      </c>
      <c r="K11" s="15" t="inlineStr">
        <is>
          <t>DE/EU</t>
        </is>
      </c>
      <c r="L11" s="16" t="n">
        <v>149</v>
      </c>
      <c r="M11" s="15" t="inlineStr">
        <is>
          <t>Verified current</t>
        </is>
      </c>
      <c r="N11" s="17">
        <f>C11*L11</f>
        <v/>
      </c>
      <c r="O11" s="18" t="inlineStr">
        <is>
          <t>Pair price.</t>
        </is>
      </c>
      <c r="P11" s="15" t="n"/>
    </row>
    <row r="12">
      <c r="A12" s="15" t="inlineStr">
        <is>
          <t>SPK-05</t>
        </is>
      </c>
      <c r="B12" s="15" t="inlineStr">
        <is>
          <t>Parcel shelf</t>
        </is>
      </c>
      <c r="C12" s="15" t="n">
        <v>1</v>
      </c>
      <c r="D12" s="15" t="n">
        <v>2</v>
      </c>
      <c r="E12" s="15" t="inlineStr">
        <is>
          <t>Parcel shelf L/R (Premium posities)</t>
        </is>
      </c>
      <c r="F12" s="15" t="inlineStr">
        <is>
          <t>HELIX Ci3 M100FM-S3</t>
        </is>
      </c>
      <c r="G12" s="15" t="inlineStr">
        <is>
          <t>3 Ω</t>
        </is>
      </c>
      <c r="H12" s="15" t="inlineStr">
        <is>
          <t>100 mm; 80 W RMS</t>
        </is>
      </c>
      <c r="I12" s="15" t="inlineStr">
        <is>
          <t>Custom Tesla mount/pigtail vereist</t>
        </is>
      </c>
      <c r="J12" s="15" t="inlineStr">
        <is>
          <t>2 Audison kanalen L/R</t>
        </is>
      </c>
      <c r="K12" s="15" t="inlineStr">
        <is>
          <t>DE/EU</t>
        </is>
      </c>
      <c r="L12" s="16" t="n">
        <v>149</v>
      </c>
      <c r="M12" s="15" t="inlineStr">
        <is>
          <t>Verified current</t>
        </is>
      </c>
      <c r="N12" s="17">
        <f>C12*L12</f>
        <v/>
      </c>
      <c r="O12" s="18" t="inlineStr">
        <is>
          <t>Pair price; Premium-posities moeten mogelijk fysiek worden voorbereid.</t>
        </is>
      </c>
      <c r="P12" s="15" t="n"/>
    </row>
    <row r="13">
      <c r="A13" s="19" t="inlineStr">
        <is>
          <t>PWR-01</t>
        </is>
      </c>
      <c r="B13" s="19" t="inlineStr">
        <is>
          <t>Voeding</t>
        </is>
      </c>
      <c r="C13" s="19" t="n">
        <v>1</v>
      </c>
      <c r="D13" s="19" t="n">
        <v>0</v>
      </c>
      <c r="E13" s="19" t="inlineStr">
        <is>
          <t>DSP amp power</t>
        </is>
      </c>
      <c r="F13" s="19" t="inlineStr">
        <is>
          <t>16 mm² OFC + MIDI fuse 60 A + terminals</t>
        </is>
      </c>
      <c r="G13" s="19" t="inlineStr">
        <is>
          <t>n.v.t.</t>
        </is>
      </c>
      <c r="H13" s="19" t="inlineStr">
        <is>
          <t>Budget allowance</t>
        </is>
      </c>
      <c r="I13" s="19" t="inlineStr">
        <is>
          <t>Dedicated fused feed</t>
        </is>
      </c>
      <c r="J13" s="19" t="inlineStr">
        <is>
          <t>Power</t>
        </is>
      </c>
      <c r="K13" s="19" t="inlineStr">
        <is>
          <t>EU</t>
        </is>
      </c>
      <c r="L13" s="20" t="n">
        <v>160</v>
      </c>
      <c r="M13" s="19" t="inlineStr">
        <is>
          <t>Budget allowance</t>
        </is>
      </c>
      <c r="N13" s="21">
        <f>C13*L13</f>
        <v/>
      </c>
      <c r="O13" s="22" t="inlineStr">
        <is>
          <t>Definitieve lengte/fusepositie na installatieroute bepalen; bestaande Pioneer voeding apart laten.</t>
        </is>
      </c>
      <c r="P13" s="19" t="n"/>
    </row>
    <row r="14">
      <c r="A14" s="19" t="inlineStr">
        <is>
          <t>ADP-01</t>
        </is>
      </c>
      <c r="B14" s="19" t="inlineStr">
        <is>
          <t>Adapters/pigtails</t>
        </is>
      </c>
      <c r="C14" s="19" t="n">
        <v>1</v>
      </c>
      <c r="D14" s="19" t="n">
        <v>0</v>
      </c>
      <c r="E14" s="19" t="inlineStr">
        <is>
          <t>80mm/headliner/rear/parcel</t>
        </is>
      </c>
      <c r="F14" s="19" t="inlineStr">
        <is>
          <t>FlexMount/custom 3D adapters + OEM pigtails</t>
        </is>
      </c>
      <c r="G14" s="19" t="inlineStr">
        <is>
          <t>n.v.t.</t>
        </is>
      </c>
      <c r="H14" s="19" t="inlineStr">
        <is>
          <t>Budget allowance</t>
        </is>
      </c>
      <c r="I14" s="19" t="inlineStr">
        <is>
          <t>No-cut vehicle side</t>
        </is>
      </c>
      <c r="J14" s="19" t="inlineStr">
        <is>
          <t>Mechanical / wiring</t>
        </is>
      </c>
      <c r="K14" s="19" t="inlineStr">
        <is>
          <t>EU</t>
        </is>
      </c>
      <c r="L14" s="20" t="n">
        <v>180</v>
      </c>
      <c r="M14" s="19" t="inlineStr">
        <is>
          <t>Budget allowance</t>
        </is>
      </c>
      <c r="N14" s="21">
        <f>C14*L14</f>
        <v/>
      </c>
      <c r="O14" s="22" t="inlineStr">
        <is>
          <t>Reserve voor 80mm, 60→50mm, rear/parcel mounts en connectoren.</t>
        </is>
      </c>
      <c r="P14" s="19" t="n"/>
    </row>
    <row r="15">
      <c r="A15" s="19" t="inlineStr">
        <is>
          <t>CAB-01</t>
        </is>
      </c>
      <c r="B15" s="19" t="inlineStr">
        <is>
          <t>Bekabeling</t>
        </is>
      </c>
      <c r="C15" s="19" t="n">
        <v>1</v>
      </c>
      <c r="D15" s="19" t="n">
        <v>0</v>
      </c>
      <c r="E15" s="19" t="inlineStr">
        <is>
          <t>Speaker/DSP/remote finishing</t>
        </is>
      </c>
      <c r="F15" s="19" t="inlineStr">
        <is>
          <t>OFC speaker cable + ferrules + braid + heatshrink</t>
        </is>
      </c>
      <c r="G15" s="19" t="inlineStr">
        <is>
          <t>n.v.t.</t>
        </is>
      </c>
      <c r="H15" s="19" t="inlineStr">
        <is>
          <t>Budget allowance</t>
        </is>
      </c>
      <c r="I15" s="19" t="inlineStr">
        <is>
          <t>Install material</t>
        </is>
      </c>
      <c r="J15" s="19" t="inlineStr">
        <is>
          <t>Signal / speaker</t>
        </is>
      </c>
      <c r="K15" s="19" t="inlineStr">
        <is>
          <t>EU</t>
        </is>
      </c>
      <c r="L15" s="20" t="n">
        <v>60</v>
      </c>
      <c r="M15" s="19" t="inlineStr">
        <is>
          <t>Budget allowance</t>
        </is>
      </c>
      <c r="N15" s="21">
        <f>C15*L15</f>
        <v/>
      </c>
      <c r="O15" s="22" t="inlineStr">
        <is>
          <t>Geen subwooferkabel/amp inbegrepen; bestaande Pioneer module hergebruiken.</t>
        </is>
      </c>
      <c r="P15" s="19" t="n"/>
    </row>
    <row r="16">
      <c r="A16" s="82" t="inlineStr">
        <is>
          <t>AUX-01</t>
        </is>
      </c>
      <c r="B16" s="82" t="inlineStr">
        <is>
          <t>Auxiliary amplifier</t>
        </is>
      </c>
      <c r="C16" s="78" t="n">
        <v>1</v>
      </c>
      <c r="D16" s="78" t="n">
        <v>0</v>
      </c>
      <c r="E16" s="78" t="inlineStr">
        <is>
          <t>Headliner L/R amplification</t>
        </is>
      </c>
      <c r="F16" s="82" t="inlineStr">
        <is>
          <t>2-channel compact amplifier - MODEL TBD</t>
        </is>
      </c>
      <c r="G16" s="78" t="inlineStr">
        <is>
          <t>TBD</t>
        </is>
      </c>
      <c r="H16" s="78" t="inlineStr">
        <is>
          <t>Suitable for 2x headliner full-range</t>
        </is>
      </c>
      <c r="I16" s="78" t="inlineStr">
        <is>
          <t>Universal; powered/fused install</t>
        </is>
      </c>
      <c r="J16" s="78" t="inlineStr">
        <is>
          <t>2 channels from Audison DSP OUT</t>
        </is>
      </c>
      <c r="K16" s="78" t="inlineStr">
        <is>
          <t>NL/DE/BE/FR first</t>
        </is>
      </c>
      <c r="L16" s="78" t="n"/>
      <c r="M16" s="82" t="inlineStr">
        <is>
          <t>REQUIRED - UNPRICED</t>
        </is>
      </c>
      <c r="N16" s="78" t="n"/>
      <c r="O16" s="78" t="inlineStr">
        <is>
          <t>TBD after EU research</t>
        </is>
      </c>
      <c r="P16" s="82" t="inlineStr">
        <is>
          <t>Required by SOP9 evidence; excluded from numeric total until model/price is researched.</t>
        </is>
      </c>
    </row>
    <row r="17">
      <c r="A17" s="86" t="inlineStr">
        <is>
          <t>SUB-01</t>
        </is>
      </c>
      <c r="B17" s="86" t="inlineStr">
        <is>
          <t>Existing subwoofer donor subsystem</t>
        </is>
      </c>
      <c r="C17" s="86" t="n">
        <v>1</v>
      </c>
      <c r="D17" s="86" t="n">
        <v>0</v>
      </c>
      <c r="E17" s="86" t="inlineStr">
        <is>
          <t>Tesla lower extra trunk storage / custom baffle</t>
        </is>
      </c>
      <c r="F17" s="86" t="inlineStr">
        <is>
          <t>Pioneer TS-WX1220AH donor: 2× original 30 cm woofers</t>
        </is>
      </c>
      <c r="G17" s="86" t="inlineStr">
        <is>
          <t>Donor hardware</t>
        </is>
      </c>
      <c r="H17" s="86" t="inlineStr">
        <is>
          <t>Original system: 1000 W RMS / 3000 W max</t>
        </is>
      </c>
      <c r="I17" s="86" t="inlineStr">
        <is>
          <t>Original Pioneer enclosure NOT used</t>
        </is>
      </c>
      <c r="J17" s="86" t="inlineStr">
        <is>
          <t>Driven by retained Pioneer Class-D amp</t>
        </is>
      </c>
      <c r="K17" s="86" t="inlineStr">
        <is>
          <t>Existing / reused</t>
        </is>
      </c>
      <c r="L17" s="87" t="n">
        <v>0</v>
      </c>
      <c r="M17" s="86" t="inlineStr">
        <is>
          <t>EXISTING - RETAINED</t>
        </is>
      </c>
      <c r="N17" s="88">
        <f>C17*L17</f>
        <v/>
      </c>
      <c r="O17" s="89" t="inlineStr">
        <is>
          <t>https://pioneer-car.eu/ts-wx1220ah/ts-wx1220ah</t>
        </is>
      </c>
      <c r="P17" s="86" t="inlineStr">
        <is>
          <t>Two original drivers removed from TS-WX1220AH and installed in custom lower-trunk baffle/lid. Excluded from 15 cabin-speaker count.</t>
        </is>
      </c>
    </row>
    <row r="18">
      <c r="A18" s="86" t="inlineStr">
        <is>
          <t>SUB-02</t>
        </is>
      </c>
      <c r="B18" s="86" t="inlineStr">
        <is>
          <t>Existing subwoofer amplifier</t>
        </is>
      </c>
      <c r="C18" s="86" t="n">
        <v>1</v>
      </c>
      <c r="D18" s="86" t="n">
        <v>0</v>
      </c>
      <c r="E18" s="86" t="inlineStr">
        <is>
          <t>Behind trunk side / wheel-arch trim near OEM Premium amp area</t>
        </is>
      </c>
      <c r="F18" s="86" t="inlineStr">
        <is>
          <t>Original TS-WX1220AH Class-D amplifier</t>
        </is>
      </c>
      <c r="G18" s="86" t="inlineStr">
        <is>
          <t>10.8–15.1 V supply</t>
        </is>
      </c>
      <c r="H18" s="86" t="inlineStr">
        <is>
          <t>600 W RMS / 1200 W max; max current 50 A</t>
        </is>
      </c>
      <c r="I18" s="86" t="inlineStr">
        <is>
          <t>Remote-mounted; original enclosure NOT used</t>
        </is>
      </c>
      <c r="J18" s="86" t="inlineStr">
        <is>
          <t>DSP sub line/RCA → Pioneer amp → two donor woofers</t>
        </is>
      </c>
      <c r="K18" s="86" t="inlineStr">
        <is>
          <t>Existing / reused</t>
        </is>
      </c>
      <c r="L18" s="87" t="n">
        <v>0</v>
      </c>
      <c r="M18" s="86" t="inlineStr">
        <is>
          <t>EXISTING - RETAINED</t>
        </is>
      </c>
      <c r="N18" s="88">
        <f>C18*L18</f>
        <v/>
      </c>
      <c r="O18" s="89" t="inlineStr">
        <is>
          <t>https://pioneer-car.eu/asset/installation_manuals/UPLOAD_ID_28783/bb886d2a0df764bbfca7a2d7de1562b67e31f364/</t>
        </is>
      </c>
      <c r="P18" s="86" t="inlineStr">
        <is>
          <t>Pioneer specifies negative ground; wiring example uses dedicated 80 A fuse.</t>
        </is>
      </c>
    </row>
    <row r="19">
      <c r="A19" s="82" t="inlineStr">
        <is>
          <t>PWR-02</t>
        </is>
      </c>
      <c r="B19" s="82" t="inlineStr">
        <is>
          <t>Subwoofer power compatibility gate</t>
        </is>
      </c>
      <c r="C19" s="82" t="n">
        <v>1</v>
      </c>
      <c r="D19" s="82" t="n">
        <v>0</v>
      </c>
      <c r="E19" s="82" t="inlineStr">
        <is>
          <t>Tesla LV → Pioneer donor amplifier</t>
        </is>
      </c>
      <c r="F19" s="82" t="inlineStr">
        <is>
          <t>High-current regulated DC-DC step-down - MODEL TBD IF REQUIRED</t>
        </is>
      </c>
      <c r="G19" s="82" t="inlineStr">
        <is>
          <t>Tesla 15.5 V vs Pioneer max 15.1 V</t>
        </is>
      </c>
      <c r="H19" s="82" t="inlineStr">
        <is>
          <t>Must support Pioneer specified max current 50 A; engineering margin TBD</t>
        </is>
      </c>
      <c r="I19" s="82" t="inlineStr">
        <is>
          <t>Dedicated fused branch; thermal/grounding design TBD</t>
        </is>
      </c>
      <c r="J19" s="82" t="inlineStr">
        <is>
          <t>Voltage verification / regulation</t>
        </is>
      </c>
      <c r="K19" s="82" t="inlineStr">
        <is>
          <t>NL/DE/BE/FR first</t>
        </is>
      </c>
      <c r="L19" s="90" t="n"/>
      <c r="M19" s="82" t="inlineStr">
        <is>
          <t>BLOCKER - UNPRICED</t>
        </is>
      </c>
      <c r="N19" s="91" t="n"/>
      <c r="O19" s="92" t="inlineStr">
        <is>
          <t>https://www.tesla.com/ownersmanual/model3/nl_nl/GUID-E414862C-CFA1-4A0B-9548-BE21C32CAA58.html</t>
        </is>
      </c>
      <c r="P19" s="82" t="inlineStr">
        <is>
          <t>DIRECT CONNECTION NOT APPROVED until actual SOP9 LV is verified. Use regulated step-down if the Pioneer amp can see &gt;15.1 V.</t>
        </is>
      </c>
    </row>
    <row r="20">
      <c r="M20" s="23" t="inlineStr">
        <is>
          <t>TOTAAL</t>
        </is>
      </c>
      <c r="N20" s="24">
        <f>SUM(N5:N19)</f>
        <v/>
      </c>
    </row>
    <row r="21">
      <c r="M21" s="25" t="inlineStr">
        <is>
          <t>Budget max</t>
        </is>
      </c>
      <c r="N21" s="26">
        <f>Overview!B5</f>
        <v/>
      </c>
    </row>
    <row r="22">
      <c r="M22" s="25" t="inlineStr">
        <is>
          <t>Headroom</t>
        </is>
      </c>
      <c r="N22" s="27">
        <f>N21-N20</f>
        <v/>
      </c>
    </row>
    <row r="23">
      <c r="M23" s="25" t="inlineStr">
        <is>
          <t>Cabin speakers</t>
        </is>
      </c>
      <c r="N23" s="28">
        <f>SUM(D5:D19)</f>
        <v/>
      </c>
    </row>
    <row r="25">
      <c r="A25" s="179" t="inlineStr">
        <is>
          <t>v2.1 NOTE</t>
        </is>
      </c>
    </row>
    <row r="26">
      <c r="A26" s="42" t="inlineStr">
        <is>
          <t>Historical/comparison content retained. Current received MB proposal is authoritative in MB_Quote_2026-09-10 / MBC_Shopping_List and MB_Channel_Map_v2.1.</t>
        </is>
      </c>
    </row>
  </sheetData>
  <mergeCells count="2">
    <mergeCell ref="A2:H2"/>
    <mergeCell ref="A1:H1"/>
  </mergeCell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O39"/>
  <sheetViews>
    <sheetView showGridLines="0" workbookViewId="0">
      <pane ySplit="4" topLeftCell="A5" activePane="bottomLeft" state="frozen"/>
      <selection pane="bottomLeft" activeCell="A1" sqref="A1"/>
    </sheetView>
  </sheetViews>
  <sheetFormatPr baseColWidth="8" defaultRowHeight="15"/>
  <cols>
    <col width="37" customWidth="1" min="1" max="1"/>
    <col width="12" customWidth="1" min="2" max="2"/>
    <col width="27" customWidth="1" min="3" max="3"/>
    <col width="10" customWidth="1" min="4" max="4"/>
    <col width="14" customWidth="1" min="5" max="5"/>
    <col width="10" customWidth="1" min="6" max="6"/>
    <col width="15" customWidth="1" min="7" max="7"/>
    <col width="12" customWidth="1" min="8" max="8"/>
    <col width="16" customWidth="1" min="9" max="9"/>
    <col width="18" customWidth="1" min="10" max="10"/>
    <col width="19" customWidth="1" min="11" max="11"/>
    <col width="24" customWidth="1" min="12" max="12"/>
    <col width="29" customWidth="1" min="13" max="13"/>
    <col width="55" customWidth="1" min="14" max="14"/>
    <col width="13" customWidth="1" min="15" max="15"/>
  </cols>
  <sheetData>
    <row r="1" ht="28" customHeight="1">
      <c r="A1" s="1" t="inlineStr">
        <is>
          <t>Prijsvergelijking per regio</t>
        </is>
      </c>
    </row>
    <row r="2" ht="30" customHeight="1">
      <c r="A2" s="2" t="inlineStr">
        <is>
          <t>Webprijzen opnieuw gecontroleerd op 2026-09-02. Bestaande niet-herbevestigde vergelijkprijzen blijven zichtbaar maar moeten bij checkout opnieuw worden geverifieerd.</t>
        </is>
      </c>
    </row>
    <row r="4">
      <c r="A4" s="14" t="inlineStr">
        <is>
          <t>Product</t>
        </is>
      </c>
      <c r="B4" s="14" t="inlineStr">
        <is>
          <t>Market</t>
        </is>
      </c>
      <c r="C4" s="14" t="inlineStr">
        <is>
          <t>Seller</t>
        </is>
      </c>
      <c r="D4" s="14" t="inlineStr">
        <is>
          <t>Currency</t>
        </is>
      </c>
      <c r="E4" s="14" t="inlineStr">
        <is>
          <t>Listed price</t>
        </is>
      </c>
      <c r="F4" s="14" t="inlineStr">
        <is>
          <t>Qty/MOQ</t>
        </is>
      </c>
      <c r="G4" s="14" t="inlineStr">
        <is>
          <t>VAT in listed?</t>
        </is>
      </c>
      <c r="H4" s="14" t="inlineStr">
        <is>
          <t>FX to EUR</t>
        </is>
      </c>
      <c r="I4" s="14" t="inlineStr">
        <is>
          <t>EUR ex extra VAT</t>
        </is>
      </c>
      <c r="J4" s="14" t="inlineStr">
        <is>
          <t>Indicative NL VAT 21%</t>
        </is>
      </c>
      <c r="K4" s="14" t="inlineStr">
        <is>
          <t>Indicative EUR incl. NL VAT</t>
        </is>
      </c>
      <c r="L4" s="14" t="inlineStr">
        <is>
          <t>Shipping/duty</t>
        </is>
      </c>
      <c r="M4" s="14" t="inlineStr">
        <is>
          <t>Availability / confidence</t>
        </is>
      </c>
      <c r="N4" s="14" t="inlineStr">
        <is>
          <t>Source URL</t>
        </is>
      </c>
      <c r="O4" s="14" t="inlineStr">
        <is>
          <t>Checked</t>
        </is>
      </c>
    </row>
    <row r="5">
      <c r="A5" s="15" t="inlineStr">
        <is>
          <t>Audison AF M12.14 bit</t>
        </is>
      </c>
      <c r="B5" s="15" t="inlineStr">
        <is>
          <t>NL</t>
        </is>
      </c>
      <c r="C5" s="15" t="inlineStr">
        <is>
          <t>MB Car Audio / AutoSound24</t>
        </is>
      </c>
      <c r="D5" s="15" t="inlineStr">
        <is>
          <t>EUR</t>
        </is>
      </c>
      <c r="E5" s="29" t="n">
        <v>1349</v>
      </c>
      <c r="F5" s="15" t="n">
        <v>1</v>
      </c>
      <c r="G5" s="15" t="inlineStr">
        <is>
          <t>Yes</t>
        </is>
      </c>
      <c r="H5" s="30" t="n">
        <v>1</v>
      </c>
      <c r="I5" s="17">
        <f>E5*H5</f>
        <v/>
      </c>
      <c r="J5" s="17">
        <f>IF(G5="Yes",0,I5*21%)</f>
        <v/>
      </c>
      <c r="K5" s="17">
        <f>I5+J5</f>
        <v/>
      </c>
      <c r="L5" s="15" t="inlineStr">
        <is>
          <t>Shipping varies</t>
        </is>
      </c>
      <c r="M5" s="15" t="inlineStr">
        <is>
          <t>Reverified 2026-09-02; NL stock shown</t>
        </is>
      </c>
      <c r="N5" s="47" t="inlineStr">
        <is>
          <t>https://mbcaraudio.nl/car-audio-producten/versterkers/versterkers-met-dsp</t>
        </is>
      </c>
      <c r="O5" s="15" t="inlineStr">
        <is>
          <t>2026-09-02</t>
        </is>
      </c>
    </row>
    <row r="6">
      <c r="A6" s="15" t="inlineStr">
        <is>
          <t>Audison AF M12.14 bit</t>
        </is>
      </c>
      <c r="B6" s="15" t="inlineStr">
        <is>
          <t>DE</t>
        </is>
      </c>
      <c r="C6" s="15" t="inlineStr">
        <is>
          <t>justSOUND</t>
        </is>
      </c>
      <c r="D6" s="15" t="inlineStr">
        <is>
          <t>EUR</t>
        </is>
      </c>
      <c r="E6" s="29" t="n">
        <v>1290</v>
      </c>
      <c r="F6" s="15" t="n">
        <v>1</v>
      </c>
      <c r="G6" s="15" t="inlineStr">
        <is>
          <t>Yes</t>
        </is>
      </c>
      <c r="H6" s="30" t="n">
        <v>1</v>
      </c>
      <c r="I6" s="17">
        <f>E6*H6</f>
        <v/>
      </c>
      <c r="J6" s="17">
        <f>IF(G6="Yes",0,I6*21%)</f>
        <v/>
      </c>
      <c r="K6" s="17">
        <f>I6+J6</f>
        <v/>
      </c>
      <c r="L6" s="15" t="inlineStr">
        <is>
          <t>DE shipping stated</t>
        </is>
      </c>
      <c r="M6" s="15" t="inlineStr">
        <is>
          <t>Current / in stock</t>
        </is>
      </c>
      <c r="N6" s="47" t="inlineStr">
        <is>
          <t>https://just-sound.de/Audison-Forza-AF-M1214-bit-12-Kanal-Verstaerker-mit-DSP-180W</t>
        </is>
      </c>
      <c r="O6" s="15" t="inlineStr">
        <is>
          <t>2026-09-01</t>
        </is>
      </c>
    </row>
    <row r="7">
      <c r="A7" s="15" t="inlineStr">
        <is>
          <t>Audison AF M12.14 bit</t>
        </is>
      </c>
      <c r="B7" s="15" t="inlineStr">
        <is>
          <t>DE</t>
        </is>
      </c>
      <c r="C7" s="15" t="inlineStr">
        <is>
          <t>Idealo / just-sound.de</t>
        </is>
      </c>
      <c r="D7" s="15" t="inlineStr">
        <is>
          <t>EUR</t>
        </is>
      </c>
      <c r="E7" s="29" t="n">
        <v>1205.9</v>
      </c>
      <c r="F7" s="15" t="n">
        <v>1</v>
      </c>
      <c r="G7" s="15" t="inlineStr">
        <is>
          <t>Yes</t>
        </is>
      </c>
      <c r="H7" s="30" t="n">
        <v>1</v>
      </c>
      <c r="I7" s="17">
        <f>E7*H7</f>
        <v/>
      </c>
      <c r="J7" s="17">
        <f>IF(G7="Yes",0,I7*21%)</f>
        <v/>
      </c>
      <c r="K7" s="17">
        <f>I7+J7</f>
        <v/>
      </c>
      <c r="L7" s="15" t="inlineStr">
        <is>
          <t>DE shipping included per Idealo; NL shipping must be verified</t>
        </is>
      </c>
      <c r="M7" s="15" t="inlineStr">
        <is>
          <t>Current comparison price; verify checkout before ordering</t>
        </is>
      </c>
      <c r="N7" s="47" t="inlineStr">
        <is>
          <t>https://www.idealo.de/preisvergleich/OffersOfProduct/203736270_-af-m12-14-bit-audison.html</t>
        </is>
      </c>
      <c r="O7" s="15" t="inlineStr">
        <is>
          <t>2026-09-01</t>
        </is>
      </c>
    </row>
    <row r="8">
      <c r="A8" s="15" t="inlineStr">
        <is>
          <t>Audison AF M12.14 bit</t>
        </is>
      </c>
      <c r="B8" s="15" t="inlineStr">
        <is>
          <t>FR/EU</t>
        </is>
      </c>
      <c r="C8" s="15" t="inlineStr">
        <is>
          <t>Elettromedia store</t>
        </is>
      </c>
      <c r="D8" s="15" t="inlineStr">
        <is>
          <t>EUR</t>
        </is>
      </c>
      <c r="E8" s="29" t="n">
        <v>1290</v>
      </c>
      <c r="F8" s="15" t="n">
        <v>1</v>
      </c>
      <c r="G8" s="15" t="inlineStr">
        <is>
          <t>Yes</t>
        </is>
      </c>
      <c r="H8" s="30" t="n">
        <v>1</v>
      </c>
      <c r="I8" s="17">
        <f>E8*H8</f>
        <v/>
      </c>
      <c r="J8" s="17">
        <f>IF(G8="Yes",0,I8*21%)</f>
        <v/>
      </c>
      <c r="K8" s="17">
        <f>I8+J8</f>
        <v/>
      </c>
      <c r="L8" s="15" t="inlineStr">
        <is>
          <t>EU shipping</t>
        </is>
      </c>
      <c r="M8" s="15" t="inlineStr">
        <is>
          <t>Current official store</t>
        </is>
      </c>
      <c r="N8" s="47" t="inlineStr">
        <is>
          <t>https://store.elettromedia.com/af-m12-14-bit/</t>
        </is>
      </c>
      <c r="O8" s="15" t="inlineStr">
        <is>
          <t>2026-09-01</t>
        </is>
      </c>
    </row>
    <row r="9">
      <c r="A9" s="15" t="inlineStr">
        <is>
          <t>MATCH UP 10DSP MK2 (alternative)</t>
        </is>
      </c>
      <c r="B9" s="15" t="inlineStr">
        <is>
          <t>NL</t>
        </is>
      </c>
      <c r="C9" s="15" t="inlineStr">
        <is>
          <t>HifiMotive</t>
        </is>
      </c>
      <c r="D9" s="15" t="inlineStr">
        <is>
          <t>EUR</t>
        </is>
      </c>
      <c r="E9" s="29" t="n">
        <v>1049</v>
      </c>
      <c r="F9" s="15" t="n">
        <v>1</v>
      </c>
      <c r="G9" s="15" t="inlineStr">
        <is>
          <t>Yes</t>
        </is>
      </c>
      <c r="H9" s="30" t="n">
        <v>1</v>
      </c>
      <c r="I9" s="17">
        <f>E9*H9</f>
        <v/>
      </c>
      <c r="J9" s="17">
        <f>IF(G9="Yes",0,I9*21%)</f>
        <v/>
      </c>
      <c r="K9" s="17">
        <f>I9+J9</f>
        <v/>
      </c>
      <c r="L9" s="15" t="inlineStr">
        <is>
          <t>NL</t>
        </is>
      </c>
      <c r="M9" s="15" t="inlineStr">
        <is>
          <t>Reverified 2026-09-02; NL retail/MSRP</t>
        </is>
      </c>
      <c r="N9" s="47" t="inlineStr">
        <is>
          <t>https://www.caraudio.nl/artikel/match-up-10dsp-mk2-10-kanaals-dsp-versterker-maup10dspmk2</t>
        </is>
      </c>
      <c r="O9" s="15" t="inlineStr">
        <is>
          <t>2026-09-02</t>
        </is>
      </c>
    </row>
    <row r="10">
      <c r="A10" s="15" t="inlineStr">
        <is>
          <t>MATCH UP 10DSP MK2 (alternative)</t>
        </is>
      </c>
      <c r="B10" s="15" t="inlineStr">
        <is>
          <t>DE/FR</t>
        </is>
      </c>
      <c r="C10" s="15" t="inlineStr">
        <is>
          <t>ARS24</t>
        </is>
      </c>
      <c r="D10" s="15" t="inlineStr">
        <is>
          <t>EUR</t>
        </is>
      </c>
      <c r="E10" s="29" t="n">
        <v>1049</v>
      </c>
      <c r="F10" s="15" t="n">
        <v>1</v>
      </c>
      <c r="G10" s="15" t="inlineStr">
        <is>
          <t>Yes</t>
        </is>
      </c>
      <c r="H10" s="30" t="n">
        <v>1</v>
      </c>
      <c r="I10" s="17">
        <f>E10*H10</f>
        <v/>
      </c>
      <c r="J10" s="17">
        <f>IF(G10="Yes",0,I10*21%)</f>
        <v/>
      </c>
      <c r="K10" s="17">
        <f>I10+J10</f>
        <v/>
      </c>
      <c r="L10" s="15" t="inlineStr">
        <is>
          <t>Ships DE/AT/FR</t>
        </is>
      </c>
      <c r="M10" s="15" t="inlineStr">
        <is>
          <t>Current / in stock</t>
        </is>
      </c>
      <c r="N10" s="47" t="inlineStr">
        <is>
          <t>https://www.ars24.com/en/match-up10dsp-mk2</t>
        </is>
      </c>
      <c r="O10" s="15" t="inlineStr">
        <is>
          <t>2026-09-01</t>
        </is>
      </c>
    </row>
    <row r="11">
      <c r="A11" s="15" t="inlineStr">
        <is>
          <t>MATCH UP 10DSP MK2 (alternative)</t>
        </is>
      </c>
      <c r="B11" s="15" t="inlineStr">
        <is>
          <t>USA</t>
        </is>
      </c>
      <c r="C11" s="15" t="inlineStr">
        <is>
          <t>Crutchfield</t>
        </is>
      </c>
      <c r="D11" s="15" t="inlineStr">
        <is>
          <t>USD</t>
        </is>
      </c>
      <c r="E11" s="32" t="n">
        <v>1450</v>
      </c>
      <c r="F11" s="15" t="n">
        <v>1</v>
      </c>
      <c r="G11" s="15" t="inlineStr">
        <is>
          <t>No</t>
        </is>
      </c>
      <c r="H11" s="30" t="n">
        <v>0.8604039999999999</v>
      </c>
      <c r="I11" s="17">
        <f>E11*H11</f>
        <v/>
      </c>
      <c r="J11" s="17">
        <f>IF(G11="Yes",0,I11*21%)</f>
        <v/>
      </c>
      <c r="K11" s="17">
        <f>I11+J11</f>
        <v/>
      </c>
      <c r="L11" s="15" t="inlineStr">
        <is>
          <t>Excl. import/shipping</t>
        </is>
      </c>
      <c r="M11" s="15" t="inlineStr">
        <is>
          <t>Current US retail</t>
        </is>
      </c>
      <c r="N11" s="47" t="inlineStr">
        <is>
          <t>https://www.crutchfield.com/shopsearch/MATCH_UP_10_DSP.html</t>
        </is>
      </c>
      <c r="O11" s="15" t="inlineStr">
        <is>
          <t>2026-09-01</t>
        </is>
      </c>
    </row>
    <row r="12">
      <c r="A12" s="15" t="inlineStr">
        <is>
          <t>Audison DRC MP CAN</t>
        </is>
      </c>
      <c r="B12" s="15" t="inlineStr">
        <is>
          <t>NL</t>
        </is>
      </c>
      <c r="C12" s="15" t="inlineStr">
        <is>
          <t>MB Car Audio</t>
        </is>
      </c>
      <c r="D12" s="15" t="inlineStr">
        <is>
          <t>EUR</t>
        </is>
      </c>
      <c r="E12" s="29" t="n">
        <v>179</v>
      </c>
      <c r="F12" s="15" t="n">
        <v>1</v>
      </c>
      <c r="G12" s="15" t="inlineStr">
        <is>
          <t>Yes</t>
        </is>
      </c>
      <c r="H12" s="30" t="n">
        <v>1</v>
      </c>
      <c r="I12" s="17">
        <f>E12*H12</f>
        <v/>
      </c>
      <c r="J12" s="17">
        <f>IF(G12="Yes",0,I12*21%)</f>
        <v/>
      </c>
      <c r="K12" s="17">
        <f>I12+J12</f>
        <v/>
      </c>
      <c r="L12" s="15" t="inlineStr">
        <is>
          <t>Free NL shipping threshold met</t>
        </is>
      </c>
      <c r="M12" s="15" t="inlineStr">
        <is>
          <t>Reverified 2026-09-02; MBC route retained</t>
        </is>
      </c>
      <c r="N12" s="47" t="inlineStr">
        <is>
          <t>https://mbcaraudio.nl/bass-controls/audison-drc-mp-can.html</t>
        </is>
      </c>
      <c r="O12" s="15" t="inlineStr">
        <is>
          <t>2026-09-02</t>
        </is>
      </c>
    </row>
    <row r="13">
      <c r="A13" s="15" t="inlineStr">
        <is>
          <t>HELIX DIRECTOR SCP (alternative)</t>
        </is>
      </c>
      <c r="B13" s="15" t="inlineStr">
        <is>
          <t>NL</t>
        </is>
      </c>
      <c r="C13" s="15" t="inlineStr">
        <is>
          <t>HifiMotive</t>
        </is>
      </c>
      <c r="D13" s="15" t="inlineStr">
        <is>
          <t>EUR</t>
        </is>
      </c>
      <c r="E13" s="29" t="n">
        <v>299</v>
      </c>
      <c r="F13" s="15" t="n">
        <v>1</v>
      </c>
      <c r="G13" s="15" t="inlineStr">
        <is>
          <t>Yes</t>
        </is>
      </c>
      <c r="H13" s="30" t="n">
        <v>1</v>
      </c>
      <c r="I13" s="17">
        <f>E13*H13</f>
        <v/>
      </c>
      <c r="J13" s="17">
        <f>IF(G13="Yes",0,I13*21%)</f>
        <v/>
      </c>
      <c r="K13" s="17">
        <f>I13+J13</f>
        <v/>
      </c>
      <c r="L13" s="15" t="inlineStr">
        <is>
          <t>NL</t>
        </is>
      </c>
      <c r="M13" s="15" t="inlineStr">
        <is>
          <t>Current</t>
        </is>
      </c>
      <c r="N13" s="47" t="inlineStr">
        <is>
          <t>https://www.caraudio.nl/artikel/helix-director-remote-control-met-touchscreen-en-scp-aansluiting-hedirectscp</t>
        </is>
      </c>
      <c r="O13" s="15" t="inlineStr">
        <is>
          <t>2026-09-01</t>
        </is>
      </c>
    </row>
    <row r="14">
      <c r="A14" s="15" t="inlineStr">
        <is>
          <t>MATCH PP-TES 1.7B Highland</t>
        </is>
      </c>
      <c r="B14" s="15" t="inlineStr">
        <is>
          <t>NL</t>
        </is>
      </c>
      <c r="C14" s="15" t="inlineStr">
        <is>
          <t>HifiMotive</t>
        </is>
      </c>
      <c r="D14" s="15" t="inlineStr">
        <is>
          <t>EUR</t>
        </is>
      </c>
      <c r="E14" s="29" t="n">
        <v>129</v>
      </c>
      <c r="F14" s="15" t="n">
        <v>1</v>
      </c>
      <c r="G14" s="15" t="inlineStr">
        <is>
          <t>Yes</t>
        </is>
      </c>
      <c r="H14" s="30" t="n">
        <v>1</v>
      </c>
      <c r="I14" s="17">
        <f>E14*H14</f>
        <v/>
      </c>
      <c r="J14" s="17">
        <f>IF(G14="Yes",0,I14*21%)</f>
        <v/>
      </c>
      <c r="K14" s="17">
        <f>I14+J14</f>
        <v/>
      </c>
      <c r="L14" s="15" t="inlineStr">
        <is>
          <t>NL</t>
        </is>
      </c>
      <c r="M14" s="15" t="inlineStr">
        <is>
          <t>Reverified 2026-09-02 official NL MSRP; MBC lists €139.95</t>
        </is>
      </c>
      <c r="N14" s="47" t="inlineStr">
        <is>
          <t>https://www.caraudio.nl/artikel/match/match-pp-tes-1-7b-highland-kabelset-voor-tesla-model-3-highland-y-juniper-met-base-audio-mapptes17bhl</t>
        </is>
      </c>
      <c r="O14" s="15" t="inlineStr">
        <is>
          <t>2026-09-02</t>
        </is>
      </c>
    </row>
    <row r="15">
      <c r="A15" s="15" t="inlineStr">
        <is>
          <t>MATCH PP-TES 1.7B Highland</t>
        </is>
      </c>
      <c r="B15" s="15" t="inlineStr">
        <is>
          <t>DE</t>
        </is>
      </c>
      <c r="C15" s="15" t="inlineStr">
        <is>
          <t>CarHifi-Store Bünde</t>
        </is>
      </c>
      <c r="D15" s="15" t="inlineStr">
        <is>
          <t>EUR</t>
        </is>
      </c>
      <c r="E15" s="29" t="n">
        <v>129</v>
      </c>
      <c r="F15" s="15" t="n">
        <v>1</v>
      </c>
      <c r="G15" s="15" t="inlineStr">
        <is>
          <t>Yes</t>
        </is>
      </c>
      <c r="H15" s="30" t="n">
        <v>1</v>
      </c>
      <c r="I15" s="17">
        <f>E15*H15</f>
        <v/>
      </c>
      <c r="J15" s="17">
        <f>IF(G15="Yes",0,I15*21%)</f>
        <v/>
      </c>
      <c r="K15" s="17">
        <f>I15+J15</f>
        <v/>
      </c>
      <c r="L15" s="15" t="inlineStr">
        <is>
          <t>DE/EU shipping</t>
        </is>
      </c>
      <c r="M15" s="15" t="inlineStr">
        <is>
          <t>Current / in stock</t>
        </is>
      </c>
      <c r="N15" s="47" t="inlineStr">
        <is>
          <t>https://www.carhifi-store-buende.de/endstufen/</t>
        </is>
      </c>
      <c r="O15" s="15" t="inlineStr">
        <is>
          <t>2026-09-01</t>
        </is>
      </c>
    </row>
    <row r="16">
      <c r="A16" s="15" t="inlineStr">
        <is>
          <t>HELIX Ci3 K200.2TES4 Highland</t>
        </is>
      </c>
      <c r="B16" s="15" t="inlineStr">
        <is>
          <t>DE</t>
        </is>
      </c>
      <c r="C16" s="15" t="inlineStr">
        <is>
          <t>CarHifi-Store Bünde</t>
        </is>
      </c>
      <c r="D16" s="15" t="inlineStr">
        <is>
          <t>EUR</t>
        </is>
      </c>
      <c r="E16" s="29" t="n">
        <v>729</v>
      </c>
      <c r="F16" s="15" t="n">
        <v>1</v>
      </c>
      <c r="G16" s="15" t="inlineStr">
        <is>
          <t>Yes</t>
        </is>
      </c>
      <c r="H16" s="30" t="n">
        <v>1</v>
      </c>
      <c r="I16" s="17">
        <f>E16*H16</f>
        <v/>
      </c>
      <c r="J16" s="17">
        <f>IF(G16="Yes",0,I16*21%)</f>
        <v/>
      </c>
      <c r="K16" s="17">
        <f>I16+J16</f>
        <v/>
      </c>
      <c r="L16" s="15" t="inlineStr">
        <is>
          <t>EU shipping extra</t>
        </is>
      </c>
      <c r="M16" s="15" t="inlineStr">
        <is>
          <t>Reverified 2026-09-02; Highland-specific kit in stock</t>
        </is>
      </c>
      <c r="N16" s="47" t="inlineStr">
        <is>
          <t>https://www.carhifi-store-buende.de/compose-ci3-k200.2tes4-tesla-model-3-highland</t>
        </is>
      </c>
      <c r="O16" s="15" t="inlineStr">
        <is>
          <t>2026-09-02</t>
        </is>
      </c>
    </row>
    <row r="17">
      <c r="A17" s="15" t="inlineStr">
        <is>
          <t>HELIX Ci5 M80FM-S3</t>
        </is>
      </c>
      <c r="B17" s="15" t="inlineStr">
        <is>
          <t>DE/FR</t>
        </is>
      </c>
      <c r="C17" s="15" t="inlineStr">
        <is>
          <t>ARS24</t>
        </is>
      </c>
      <c r="D17" s="15" t="inlineStr">
        <is>
          <t>EUR</t>
        </is>
      </c>
      <c r="E17" s="29" t="n">
        <v>199</v>
      </c>
      <c r="F17" s="15" t="n">
        <v>1</v>
      </c>
      <c r="G17" s="15" t="inlineStr">
        <is>
          <t>Yes</t>
        </is>
      </c>
      <c r="H17" s="30" t="n">
        <v>1</v>
      </c>
      <c r="I17" s="17">
        <f>E17*H17</f>
        <v/>
      </c>
      <c r="J17" s="17">
        <f>IF(G17="Yes",0,I17*21%)</f>
        <v/>
      </c>
      <c r="K17" s="17">
        <f>I17+J17</f>
        <v/>
      </c>
      <c r="L17" s="15" t="inlineStr">
        <is>
          <t>Ships DE/AT/FR</t>
        </is>
      </c>
      <c r="M17" s="15" t="inlineStr">
        <is>
          <t>Reverified 2026-09-02; ARS24 DE/AT/FR only</t>
        </is>
      </c>
      <c r="N17" s="47" t="inlineStr">
        <is>
          <t>https://www.ars24.com/en/helix-ci5-m80fm-s3</t>
        </is>
      </c>
      <c r="O17" s="15" t="inlineStr">
        <is>
          <t>2026-09-02</t>
        </is>
      </c>
    </row>
    <row r="18">
      <c r="A18" s="15" t="inlineStr">
        <is>
          <t>HELIX Ci5 M50FM-S3</t>
        </is>
      </c>
      <c r="B18" s="15" t="inlineStr">
        <is>
          <t>DE/FR</t>
        </is>
      </c>
      <c r="C18" s="15" t="inlineStr">
        <is>
          <t>ARS24</t>
        </is>
      </c>
      <c r="D18" s="15" t="inlineStr">
        <is>
          <t>EUR</t>
        </is>
      </c>
      <c r="E18" s="29" t="n">
        <v>169</v>
      </c>
      <c r="F18" s="15" t="n">
        <v>1</v>
      </c>
      <c r="G18" s="15" t="inlineStr">
        <is>
          <t>Yes</t>
        </is>
      </c>
      <c r="H18" s="30" t="n">
        <v>1</v>
      </c>
      <c r="I18" s="17">
        <f>E18*H18</f>
        <v/>
      </c>
      <c r="J18" s="17">
        <f>IF(G18="Yes",0,I18*21%)</f>
        <v/>
      </c>
      <c r="K18" s="17">
        <f>I18+J18</f>
        <v/>
      </c>
      <c r="L18" s="15" t="inlineStr">
        <is>
          <t>Ships DE/AT/FR</t>
        </is>
      </c>
      <c r="M18" s="15" t="inlineStr">
        <is>
          <t>Reverified 2026-09-02; ARS24 DE/AT/FR only</t>
        </is>
      </c>
      <c r="N18" s="47" t="inlineStr">
        <is>
          <t>https://www.ars24.com/en/helix-ci5-m50fm-s3</t>
        </is>
      </c>
      <c r="O18" s="15" t="inlineStr">
        <is>
          <t>2026-09-02</t>
        </is>
      </c>
    </row>
    <row r="19">
      <c r="A19" s="15" t="inlineStr">
        <is>
          <t>HELIX Ci3 M100FM-S3</t>
        </is>
      </c>
      <c r="B19" s="15" t="inlineStr">
        <is>
          <t>DE</t>
        </is>
      </c>
      <c r="C19" s="15" t="inlineStr">
        <is>
          <t>hfb.audio</t>
        </is>
      </c>
      <c r="D19" s="15" t="inlineStr">
        <is>
          <t>EUR</t>
        </is>
      </c>
      <c r="E19" s="29" t="n">
        <v>149</v>
      </c>
      <c r="F19" s="15" t="n">
        <v>1</v>
      </c>
      <c r="G19" s="15" t="inlineStr">
        <is>
          <t>Yes</t>
        </is>
      </c>
      <c r="H19" s="30" t="n">
        <v>1</v>
      </c>
      <c r="I19" s="17">
        <f>E19*H19</f>
        <v/>
      </c>
      <c r="J19" s="17">
        <f>IF(G19="Yes",0,I19*21%)</f>
        <v/>
      </c>
      <c r="K19" s="17">
        <f>I19+J19</f>
        <v/>
      </c>
      <c r="L19" s="15" t="inlineStr">
        <is>
          <t>Shipping extra</t>
        </is>
      </c>
      <c r="M19" s="15" t="inlineStr">
        <is>
          <t>Reverified 2026-09-02; HFB listing/current comparison</t>
        </is>
      </c>
      <c r="N19" s="47" t="inlineStr">
        <is>
          <t>https://shop.hfb.audio/produkte-fuers-auto/lautsprecher/831/helix-ci3-m100fm-s3-10cm-mittelton-lautsprecher</t>
        </is>
      </c>
      <c r="O19" s="15" t="inlineStr">
        <is>
          <t>2026-09-02</t>
        </is>
      </c>
    </row>
    <row r="20">
      <c r="A20" s="15" t="inlineStr">
        <is>
          <t>HELIX Ci3 M100FM-S3</t>
        </is>
      </c>
      <c r="B20" s="15" t="inlineStr">
        <is>
          <t>FR/EU</t>
        </is>
      </c>
      <c r="C20" s="15" t="inlineStr">
        <is>
          <t>MT Audio</t>
        </is>
      </c>
      <c r="D20" s="15" t="inlineStr">
        <is>
          <t>EUR</t>
        </is>
      </c>
      <c r="E20" s="29" t="n">
        <v>149</v>
      </c>
      <c r="F20" s="15" t="n">
        <v>1</v>
      </c>
      <c r="G20" s="15" t="inlineStr">
        <is>
          <t>Yes</t>
        </is>
      </c>
      <c r="H20" s="30" t="n">
        <v>1</v>
      </c>
      <c r="I20" s="17">
        <f>E20*H20</f>
        <v/>
      </c>
      <c r="J20" s="17">
        <f>IF(G20="Yes",0,I20*21%)</f>
        <v/>
      </c>
      <c r="K20" s="17">
        <f>I20+J20</f>
        <v/>
      </c>
      <c r="L20" s="15" t="inlineStr">
        <is>
          <t>EU free shipping &gt; €99 stated</t>
        </is>
      </c>
      <c r="M20" s="15" t="inlineStr">
        <is>
          <t>Current / backorder flag</t>
        </is>
      </c>
      <c r="N20" s="47" t="inlineStr">
        <is>
          <t>https://mtaudio.eu/en/products/helix-ci3-m100fm-s3-mitteltoner</t>
        </is>
      </c>
      <c r="O20" s="15" t="inlineStr">
        <is>
          <t>2026-09-01</t>
        </is>
      </c>
    </row>
    <row r="21">
      <c r="A21" s="19" t="inlineStr">
        <is>
          <t>YMAUDIO Tesla 8in woofer (China benchmark)</t>
        </is>
      </c>
      <c r="B21" s="19" t="inlineStr">
        <is>
          <t>China</t>
        </is>
      </c>
      <c r="C21" s="19" t="inlineStr">
        <is>
          <t>Hubei Yiming / Made-in-China</t>
        </is>
      </c>
      <c r="D21" s="19" t="inlineStr">
        <is>
          <t>USD</t>
        </is>
      </c>
      <c r="E21" s="33" t="n">
        <v>95</v>
      </c>
      <c r="F21" s="19" t="n">
        <v>200</v>
      </c>
      <c r="G21" s="19" t="inlineStr">
        <is>
          <t>No</t>
        </is>
      </c>
      <c r="H21" s="34" t="n">
        <v>0.8604039999999999</v>
      </c>
      <c r="I21" s="21">
        <f>E21*H21</f>
        <v/>
      </c>
      <c r="J21" s="21">
        <f>IF(G21="Yes",0,I21*21%)</f>
        <v/>
      </c>
      <c r="K21" s="21">
        <f>I21+J21</f>
        <v/>
      </c>
      <c r="L21" s="19" t="inlineStr">
        <is>
          <t>FOB/EXW/CIF; MOQ 200</t>
        </is>
      </c>
      <c r="M21" s="19" t="inlineStr">
        <is>
          <t>Wholesale only; NOT retail/SOP9-verified</t>
        </is>
      </c>
      <c r="N21" s="47" t="inlineStr">
        <is>
          <t>https://bhyiming.en.made-in-china.com/product/IdetXGaKEOcp/China-Manufacturer-Plug-and-Play-System-Woofer-for-Tesla-Model-3-High-Sound-Quality-8-Inch-Car-Accesssories-Car-Audio-Subwoofers.html</t>
        </is>
      </c>
      <c r="O21" s="19" t="inlineStr">
        <is>
          <t>2026-09-01</t>
        </is>
      </c>
    </row>
    <row r="22">
      <c r="A22" s="15" t="inlineStr">
        <is>
          <t>HELIX V TWELVE DSP MK2 (alternative)</t>
        </is>
      </c>
      <c r="B22" s="15" t="inlineStr">
        <is>
          <t>NL</t>
        </is>
      </c>
      <c r="C22" s="15" t="inlineStr">
        <is>
          <t>ACR Helmond / Schut</t>
        </is>
      </c>
      <c r="D22" s="15" t="inlineStr">
        <is>
          <t>EUR</t>
        </is>
      </c>
      <c r="E22" s="29" t="n">
        <v>1499</v>
      </c>
      <c r="F22" s="15" t="n">
        <v>1</v>
      </c>
      <c r="G22" s="15" t="inlineStr">
        <is>
          <t>Yes</t>
        </is>
      </c>
      <c r="H22" s="30" t="n">
        <v>1</v>
      </c>
      <c r="I22" s="17">
        <f>E22*H22</f>
        <v/>
      </c>
      <c r="J22" s="17">
        <f>IF(G22="Yes",0,I22*21%)</f>
        <v/>
      </c>
      <c r="K22" s="17">
        <f>I22+J22</f>
        <v/>
      </c>
      <c r="L22" s="15" t="inlineStr">
        <is>
          <t>NL</t>
        </is>
      </c>
      <c r="M22" s="15" t="inlineStr">
        <is>
          <t>Reverified; 12 amp / 14 DSP</t>
        </is>
      </c>
      <c r="N22" s="47" t="inlineStr">
        <is>
          <t>https://www.acr-helmond.nl/helix-v-twelve-dsp-mk2.htm</t>
        </is>
      </c>
      <c r="O22" s="15" t="inlineStr">
        <is>
          <t>2026-09-02</t>
        </is>
      </c>
    </row>
    <row r="23">
      <c r="A23" s="15" t="inlineStr">
        <is>
          <t>HELIX V EIGHTEEN DSP (alternative)</t>
        </is>
      </c>
      <c r="B23" s="15" t="inlineStr">
        <is>
          <t>NL</t>
        </is>
      </c>
      <c r="C23" s="15" t="inlineStr">
        <is>
          <t>MB Car Audio / ACR Helmond / Schut</t>
        </is>
      </c>
      <c r="D23" s="15" t="inlineStr">
        <is>
          <t>EUR</t>
        </is>
      </c>
      <c r="E23" s="29" t="n">
        <v>1799</v>
      </c>
      <c r="F23" s="15" t="n">
        <v>1</v>
      </c>
      <c r="G23" s="15" t="inlineStr">
        <is>
          <t>Yes</t>
        </is>
      </c>
      <c r="H23" s="30" t="n">
        <v>1</v>
      </c>
      <c r="I23" s="17">
        <f>E23*H23</f>
        <v/>
      </c>
      <c r="J23" s="17">
        <f>IF(G23="Yes",0,I23*21%)</f>
        <v/>
      </c>
      <c r="K23" s="17">
        <f>I23+J23</f>
        <v/>
      </c>
      <c r="L23" s="15" t="inlineStr">
        <is>
          <t>NL</t>
        </is>
      </c>
      <c r="M23" s="15" t="inlineStr">
        <is>
          <t>Reverified; 18 amp / 20 DSP</t>
        </is>
      </c>
      <c r="N23" s="47" t="inlineStr">
        <is>
          <t>https://mbcaraudio.nl/car-audio-producten/versterkers/versterkers-met-dsp</t>
        </is>
      </c>
      <c r="O23" s="15" t="inlineStr">
        <is>
          <t>2026-09-02</t>
        </is>
      </c>
    </row>
    <row r="24">
      <c r="A24" s="15" t="inlineStr">
        <is>
          <t>Focal IW T3Y 200</t>
        </is>
      </c>
      <c r="B24" s="15" t="inlineStr">
        <is>
          <t>NL</t>
        </is>
      </c>
      <c r="C24" s="15" t="inlineStr">
        <is>
          <t>MB Car Audio</t>
        </is>
      </c>
      <c r="D24" s="15" t="inlineStr">
        <is>
          <t>EUR</t>
        </is>
      </c>
      <c r="E24" s="29" t="n">
        <v>459</v>
      </c>
      <c r="F24" s="15" t="n">
        <v>1</v>
      </c>
      <c r="G24" s="15" t="inlineStr">
        <is>
          <t>Yes</t>
        </is>
      </c>
      <c r="H24" s="30" t="n">
        <v>1</v>
      </c>
      <c r="I24" s="17">
        <f>E24*H24</f>
        <v/>
      </c>
      <c r="J24" s="17">
        <f>IF(G24="Yes",0,I24*21%)</f>
        <v/>
      </c>
      <c r="K24" s="17">
        <f>I24+J24</f>
        <v/>
      </c>
      <c r="L24" s="15" t="inlineStr">
        <is>
          <t>NL</t>
        </is>
      </c>
      <c r="M24" s="15" t="inlineStr">
        <is>
          <t>Direct leverbaar</t>
        </is>
      </c>
      <c r="N24" s="47" t="inlineStr">
        <is>
          <t>https://mbcaraudio.nl/autospecifieke-pasklare-speakersets/focal-iw-t3y-200.html</t>
        </is>
      </c>
      <c r="O24" s="15" t="inlineStr">
        <is>
          <t>2026-09-02</t>
        </is>
      </c>
    </row>
    <row r="25">
      <c r="A25" s="15" t="inlineStr">
        <is>
          <t>Focal IS T3Y 100</t>
        </is>
      </c>
      <c r="B25" s="15" t="inlineStr">
        <is>
          <t>NL</t>
        </is>
      </c>
      <c r="C25" s="15" t="inlineStr">
        <is>
          <t>MB Car Audio</t>
        </is>
      </c>
      <c r="D25" s="15" t="inlineStr">
        <is>
          <t>EUR</t>
        </is>
      </c>
      <c r="E25" s="29" t="n">
        <v>369</v>
      </c>
      <c r="F25" s="15" t="n">
        <v>1</v>
      </c>
      <c r="G25" s="15" t="inlineStr">
        <is>
          <t>Yes</t>
        </is>
      </c>
      <c r="H25" s="30" t="n">
        <v>1</v>
      </c>
      <c r="I25" s="17">
        <f>E25*H25</f>
        <v/>
      </c>
      <c r="J25" s="17">
        <f>IF(G25="Yes",0,I25*21%)</f>
        <v/>
      </c>
      <c r="K25" s="17">
        <f>I25+J25</f>
        <v/>
      </c>
      <c r="L25" s="15" t="inlineStr">
        <is>
          <t>NL</t>
        </is>
      </c>
      <c r="M25" s="15" t="inlineStr">
        <is>
          <t>Direct leverbaar</t>
        </is>
      </c>
      <c r="N25" s="47" t="inlineStr">
        <is>
          <t>https://mbcaraudio.nl/autospecifieke-pasklare-speakersets/focal-is-t3y-100.html</t>
        </is>
      </c>
      <c r="O25" s="15" t="inlineStr">
        <is>
          <t>2026-09-02</t>
        </is>
      </c>
    </row>
    <row r="26">
      <c r="A26" s="15" t="inlineStr">
        <is>
          <t>Focal ICC T3Y 100</t>
        </is>
      </c>
      <c r="B26" s="15" t="inlineStr">
        <is>
          <t>NL</t>
        </is>
      </c>
      <c r="C26" s="15" t="inlineStr">
        <is>
          <t>MB Car Audio</t>
        </is>
      </c>
      <c r="D26" s="15" t="inlineStr">
        <is>
          <t>EUR</t>
        </is>
      </c>
      <c r="E26" s="29" t="n">
        <v>179</v>
      </c>
      <c r="F26" s="15" t="n">
        <v>1</v>
      </c>
      <c r="G26" s="15" t="inlineStr">
        <is>
          <t>Yes</t>
        </is>
      </c>
      <c r="H26" s="30" t="n">
        <v>1</v>
      </c>
      <c r="I26" s="17">
        <f>E26*H26</f>
        <v/>
      </c>
      <c r="J26" s="17">
        <f>IF(G26="Yes",0,I26*21%)</f>
        <v/>
      </c>
      <c r="K26" s="17">
        <f>I26+J26</f>
        <v/>
      </c>
      <c r="L26" s="15" t="inlineStr">
        <is>
          <t>NL</t>
        </is>
      </c>
      <c r="M26" s="15" t="inlineStr">
        <is>
          <t>Direct leverbaar</t>
        </is>
      </c>
      <c r="N26" s="47" t="inlineStr">
        <is>
          <t>https://mbcaraudio.nl/autospecifieke-pasklare-speakersets/focal-icc-t3y-100.html</t>
        </is>
      </c>
      <c r="O26" s="15" t="inlineStr">
        <is>
          <t>2026-09-02</t>
        </is>
      </c>
    </row>
    <row r="27">
      <c r="A27" s="15" t="inlineStr">
        <is>
          <t>Focal IC T3Y 100</t>
        </is>
      </c>
      <c r="B27" s="15" t="inlineStr">
        <is>
          <t>NL</t>
        </is>
      </c>
      <c r="C27" s="15" t="inlineStr">
        <is>
          <t>MB Car Audio</t>
        </is>
      </c>
      <c r="D27" s="15" t="inlineStr">
        <is>
          <t>EUR</t>
        </is>
      </c>
      <c r="E27" s="29" t="n">
        <v>319</v>
      </c>
      <c r="F27" s="15" t="n">
        <v>1</v>
      </c>
      <c r="G27" s="15" t="inlineStr">
        <is>
          <t>Yes</t>
        </is>
      </c>
      <c r="H27" s="30" t="n">
        <v>1</v>
      </c>
      <c r="I27" s="17">
        <f>E27*H27</f>
        <v/>
      </c>
      <c r="J27" s="17">
        <f>IF(G27="Yes",0,I27*21%)</f>
        <v/>
      </c>
      <c r="K27" s="17">
        <f>I27+J27</f>
        <v/>
      </c>
      <c r="L27" s="15" t="inlineStr">
        <is>
          <t>NL</t>
        </is>
      </c>
      <c r="M27" s="15" t="inlineStr">
        <is>
          <t>Direct leverbaar</t>
        </is>
      </c>
      <c r="N27" s="47" t="inlineStr">
        <is>
          <t>https://mbcaraudio.nl/autospecifieke-pasklare-speakersets/focal-ic-t3y-100.html</t>
        </is>
      </c>
      <c r="O27" s="15" t="inlineStr">
        <is>
          <t>2026-09-02</t>
        </is>
      </c>
    </row>
    <row r="28">
      <c r="A28" s="15" t="inlineStr">
        <is>
          <t>Ground Zero GZUF 60SQ-A</t>
        </is>
      </c>
      <c r="B28" s="15" t="inlineStr">
        <is>
          <t>NL</t>
        </is>
      </c>
      <c r="C28" s="15" t="inlineStr">
        <is>
          <t>MB Car Audio</t>
        </is>
      </c>
      <c r="D28" s="15" t="inlineStr">
        <is>
          <t>EUR</t>
        </is>
      </c>
      <c r="E28" s="29" t="n">
        <v>174.95</v>
      </c>
      <c r="F28" s="15" t="n">
        <v>1</v>
      </c>
      <c r="G28" s="15" t="inlineStr">
        <is>
          <t>Yes</t>
        </is>
      </c>
      <c r="H28" s="30" t="n">
        <v>1</v>
      </c>
      <c r="I28" s="17">
        <f>E28*H28</f>
        <v/>
      </c>
      <c r="J28" s="17">
        <f>IF(G28="Yes",0,I28*21%)</f>
        <v/>
      </c>
      <c r="K28" s="17">
        <f>I28+J28</f>
        <v/>
      </c>
      <c r="L28" s="15" t="inlineStr">
        <is>
          <t>Free NL &gt; €99</t>
        </is>
      </c>
      <c r="M28" s="15" t="inlineStr">
        <is>
          <t>5–10 working days</t>
        </is>
      </c>
      <c r="N28" s="47" t="inlineStr">
        <is>
          <t>https://mbcaraudio.nl/87-cm-/ground-zero-gzuf-60sq-a.html</t>
        </is>
      </c>
      <c r="O28" s="15" t="inlineStr">
        <is>
          <t>2026-09-02</t>
        </is>
      </c>
    </row>
    <row r="29">
      <c r="A29" s="15" t="inlineStr">
        <is>
          <t>Ground Zero GZRM 80SQ</t>
        </is>
      </c>
      <c r="B29" s="15" t="inlineStr">
        <is>
          <t>DE</t>
        </is>
      </c>
      <c r="C29" s="15" t="inlineStr">
        <is>
          <t>MediaMarkt marketplace / ACR-Bielefeld</t>
        </is>
      </c>
      <c r="D29" s="15" t="inlineStr">
        <is>
          <t>EUR</t>
        </is>
      </c>
      <c r="E29" s="29" t="n">
        <v>179</v>
      </c>
      <c r="F29" s="15" t="n">
        <v>1</v>
      </c>
      <c r="G29" s="15" t="inlineStr">
        <is>
          <t>Yes</t>
        </is>
      </c>
      <c r="H29" s="30" t="n">
        <v>1</v>
      </c>
      <c r="I29" s="17">
        <f>E29*H29</f>
        <v/>
      </c>
      <c r="J29" s="17">
        <f>IF(G29="Yes",0,I29*21%)</f>
        <v/>
      </c>
      <c r="K29" s="17">
        <f>I29+J29</f>
        <v/>
      </c>
      <c r="L29" s="15" t="inlineStr">
        <is>
          <t>DE</t>
        </is>
      </c>
      <c r="M29" s="15" t="inlineStr">
        <is>
          <t>Current listing; fitment still custom</t>
        </is>
      </c>
      <c r="N29" s="47" t="inlineStr">
        <is>
          <t>https://www.mediamarkt.de/de/product/_ground-zero-gzrm-80sq-autolautsprecher-151306218.html</t>
        </is>
      </c>
      <c r="O29" s="15" t="inlineStr">
        <is>
          <t>2026-09-02</t>
        </is>
      </c>
    </row>
    <row r="30">
      <c r="A30" s="15" t="inlineStr">
        <is>
          <t>PowerBass OE40CN-T3Y</t>
        </is>
      </c>
      <c r="B30" s="15" t="inlineStr">
        <is>
          <t>GR</t>
        </is>
      </c>
      <c r="C30" s="15" t="inlineStr">
        <is>
          <t>iCan Greece</t>
        </is>
      </c>
      <c r="D30" s="15" t="inlineStr">
        <is>
          <t>EUR</t>
        </is>
      </c>
      <c r="E30" s="29" t="n">
        <v>121.5</v>
      </c>
      <c r="F30" s="15" t="n">
        <v>1</v>
      </c>
      <c r="G30" s="15" t="inlineStr">
        <is>
          <t>Yes</t>
        </is>
      </c>
      <c r="H30" s="30" t="n">
        <v>1</v>
      </c>
      <c r="I30" s="17">
        <f>E30*H30</f>
        <v/>
      </c>
      <c r="J30" s="17">
        <f>IF(G30="Yes",0,I30*21%)</f>
        <v/>
      </c>
      <c r="K30" s="17">
        <f>I30+J30</f>
        <v/>
      </c>
      <c r="L30" s="15" t="inlineStr">
        <is>
          <t>GR/EU route TBD</t>
        </is>
      </c>
      <c r="M30" s="15" t="inlineStr">
        <is>
          <t>Current listing; use only after marketplace/shop check</t>
        </is>
      </c>
      <c r="N30" s="47" t="inlineStr">
        <is>
          <t>https://ican.gr/ήχος-και-εικόνα-αυτοκινήτου/ηχεία-αυτοκινήτου/ηχεία-εργοστασιακού-τύπου-oem/powerbass-oe40cn-t3y-διαιρούμενα-ηχεία-αυτοκινήτου-4-oem</t>
        </is>
      </c>
      <c r="O30" s="15" t="inlineStr">
        <is>
          <t>2026-09-02</t>
        </is>
      </c>
    </row>
    <row r="32">
      <c r="A32" s="99" t="inlineStr">
        <is>
          <t>FULL HELIX 2026-09-06</t>
        </is>
      </c>
    </row>
    <row r="33">
      <c r="A33" t="inlineStr">
        <is>
          <t>HELIX i5-priority + V EIGHTEEN</t>
        </is>
      </c>
      <c r="B33" s="100">
        <f>'HELIX_i5_Setup'!B29</f>
        <v/>
      </c>
      <c r="C33" s="41" t="inlineStr">
        <is>
          <t>15 full-active cabin channels; known hardware only</t>
        </is>
      </c>
    </row>
    <row r="34">
      <c r="A34" t="inlineStr">
        <is>
          <t>HELIX i7-priority + V EIGHTEEN</t>
        </is>
      </c>
      <c r="B34" s="100">
        <f>'HELIX_i7_Setup'!B29</f>
        <v/>
      </c>
      <c r="C34" s="41" t="inlineStr">
        <is>
          <t>15 full-active cabin channels; known hardware only</t>
        </is>
      </c>
    </row>
    <row r="35">
      <c r="A35" t="inlineStr">
        <is>
          <t>Known i7 premium vs i5</t>
        </is>
      </c>
      <c r="B35" s="100">
        <f>'HELIX_Comparison'!C7</f>
        <v/>
      </c>
      <c r="C35" s="41" t="inlineStr">
        <is>
          <t>Does not include TBD install/integration differences</t>
        </is>
      </c>
    </row>
    <row r="36">
      <c r="A36" s="15" t="inlineStr">
        <is>
          <t>MATCH UP 1FX</t>
        </is>
      </c>
      <c r="B36" s="15" t="inlineStr">
        <is>
          <t>NL</t>
        </is>
      </c>
      <c r="C36" s="15" t="inlineStr">
        <is>
          <t>HifiMotive / dealer network</t>
        </is>
      </c>
      <c r="D36" s="15" t="inlineStr">
        <is>
          <t>EUR</t>
        </is>
      </c>
      <c r="E36" s="29" t="n">
        <v>299</v>
      </c>
      <c r="F36" s="15" t="n">
        <v>1</v>
      </c>
      <c r="G36" s="15" t="inlineStr">
        <is>
          <t>Yes</t>
        </is>
      </c>
      <c r="H36" s="30" t="n">
        <v>1</v>
      </c>
      <c r="I36" s="17">
        <f>E36*H36</f>
        <v/>
      </c>
      <c r="J36" s="17">
        <f>IF(G36="Yes",0,I36*21%)</f>
        <v/>
      </c>
      <c r="K36" s="17">
        <f>I36+J36</f>
        <v/>
      </c>
      <c r="L36" s="15" t="inlineStr">
        <is>
          <t>NL dealer</t>
        </is>
      </c>
      <c r="M36" s="15" t="inlineStr">
        <is>
          <t>Current RRP; 10.5–18 V, 1 Ω stable</t>
        </is>
      </c>
      <c r="N36" s="156" t="inlineStr">
        <is>
          <t>https://www.caraudio.nl/artikel/helix-src-subwoofer-remote-control-voor-helix-versterkers-hesrc</t>
        </is>
      </c>
      <c r="O36" s="15" t="inlineStr">
        <is>
          <t>2026-09-10</t>
        </is>
      </c>
    </row>
    <row r="37">
      <c r="A37" s="15" t="inlineStr">
        <is>
          <t>MATCH UP 1FX</t>
        </is>
      </c>
      <c r="B37" s="15" t="inlineStr">
        <is>
          <t>DE/FR</t>
        </is>
      </c>
      <c r="C37" s="15" t="inlineStr">
        <is>
          <t>ARS24</t>
        </is>
      </c>
      <c r="D37" s="15" t="inlineStr">
        <is>
          <t>EUR</t>
        </is>
      </c>
      <c r="E37" s="29" t="n">
        <v>299</v>
      </c>
      <c r="F37" s="15" t="n">
        <v>1</v>
      </c>
      <c r="G37" s="15" t="inlineStr">
        <is>
          <t>Yes</t>
        </is>
      </c>
      <c r="H37" s="30" t="n">
        <v>1</v>
      </c>
      <c r="I37" s="17">
        <f>E37*H37</f>
        <v/>
      </c>
      <c r="J37" s="17">
        <f>IF(G37="Yes",0,I37*21%)</f>
        <v/>
      </c>
      <c r="K37" s="17">
        <f>I37+J37</f>
        <v/>
      </c>
      <c r="L37" s="15" t="inlineStr">
        <is>
          <t>Free shipping shown; HELIX/MATCH shipping only DE/AT/FR</t>
        </is>
      </c>
      <c r="M37" s="15" t="inlineStr">
        <is>
          <t>Ready for dispatch; 1–2 days</t>
        </is>
      </c>
      <c r="N37" s="156" t="inlineStr">
        <is>
          <t>https://www.ars24.com/en/match-up1fx</t>
        </is>
      </c>
      <c r="O37" s="15" t="inlineStr">
        <is>
          <t>2026-09-10</t>
        </is>
      </c>
    </row>
    <row r="38">
      <c r="A38" s="15" t="inlineStr">
        <is>
          <t>HELIX M ONE</t>
        </is>
      </c>
      <c r="B38" s="15" t="inlineStr">
        <is>
          <t>DE</t>
        </is>
      </c>
      <c r="C38" s="15" t="inlineStr">
        <is>
          <t>CarHifi-Store Bünde</t>
        </is>
      </c>
      <c r="D38" s="15" t="inlineStr">
        <is>
          <t>EUR</t>
        </is>
      </c>
      <c r="E38" s="29" t="n">
        <v>299</v>
      </c>
      <c r="F38" s="15" t="n">
        <v>1</v>
      </c>
      <c r="G38" s="15" t="inlineStr">
        <is>
          <t>Yes</t>
        </is>
      </c>
      <c r="H38" s="30" t="n">
        <v>1</v>
      </c>
      <c r="I38" s="17">
        <f>E38*H38</f>
        <v/>
      </c>
      <c r="J38" s="17">
        <f>IF(G38="Yes",0,I38*21%)</f>
        <v/>
      </c>
      <c r="K38" s="17">
        <f>I38+J38</f>
        <v/>
      </c>
      <c r="L38" s="15" t="inlineStr">
        <is>
          <t>DE/EU shipping verify</t>
        </is>
      </c>
      <c r="M38" s="15" t="inlineStr">
        <is>
          <t>Available in 4 days listing; 10.5–16 V, 1 Ω stable</t>
        </is>
      </c>
      <c r="N38" s="156" t="inlineStr">
        <is>
          <t>https://www.carhifi-store-buende.de/endstufen/helix/</t>
        </is>
      </c>
      <c r="O38" s="15" t="inlineStr">
        <is>
          <t>2026-09-10</t>
        </is>
      </c>
    </row>
    <row r="39">
      <c r="A39" s="15" t="inlineStr">
        <is>
          <t>HELIX M ONE X</t>
        </is>
      </c>
      <c r="B39" s="15" t="inlineStr">
        <is>
          <t>DE</t>
        </is>
      </c>
      <c r="C39" s="15" t="inlineStr">
        <is>
          <t>CarHifi-Store Bünde</t>
        </is>
      </c>
      <c r="D39" s="15" t="inlineStr">
        <is>
          <t>EUR</t>
        </is>
      </c>
      <c r="E39" s="29" t="n">
        <v>379</v>
      </c>
      <c r="F39" s="15" t="n">
        <v>1</v>
      </c>
      <c r="G39" s="15" t="inlineStr">
        <is>
          <t>Yes</t>
        </is>
      </c>
      <c r="H39" s="30" t="n">
        <v>1</v>
      </c>
      <c r="I39" s="17">
        <f>E39*H39</f>
        <v/>
      </c>
      <c r="J39" s="17">
        <f>IF(G39="Yes",0,I39*21%)</f>
        <v/>
      </c>
      <c r="K39" s="17">
        <f>I39+J39</f>
        <v/>
      </c>
      <c r="L39" s="15" t="inlineStr">
        <is>
          <t>DE/EU shipping verify</t>
        </is>
      </c>
      <c r="M39" s="15" t="inlineStr">
        <is>
          <t>Available in 4 days listing; 10.5–16 V, 1 Ω stable</t>
        </is>
      </c>
      <c r="N39" s="156" t="inlineStr">
        <is>
          <t>https://www.carhifi-store-buende.de/helix-m-one-x</t>
        </is>
      </c>
      <c r="O39" s="15" t="inlineStr">
        <is>
          <t>2026-09-10</t>
        </is>
      </c>
    </row>
  </sheetData>
  <autoFilter ref="A4:O39"/>
  <mergeCells count="6">
    <mergeCell ref="C33:H33"/>
    <mergeCell ref="A2:H2"/>
    <mergeCell ref="A32:O32"/>
    <mergeCell ref="C35:H35"/>
    <mergeCell ref="A1:H1"/>
    <mergeCell ref="C34:H34"/>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4" r:id="rId10"/>
    <hyperlink xmlns:r="http://schemas.openxmlformats.org/officeDocument/2006/relationships" ref="N15" r:id="rId11"/>
    <hyperlink xmlns:r="http://schemas.openxmlformats.org/officeDocument/2006/relationships" ref="N16" r:id="rId12"/>
    <hyperlink xmlns:r="http://schemas.openxmlformats.org/officeDocument/2006/relationships" ref="N17" r:id="rId13"/>
    <hyperlink xmlns:r="http://schemas.openxmlformats.org/officeDocument/2006/relationships" ref="N18" r:id="rId14"/>
    <hyperlink xmlns:r="http://schemas.openxmlformats.org/officeDocument/2006/relationships" ref="N19" r:id="rId15"/>
    <hyperlink xmlns:r="http://schemas.openxmlformats.org/officeDocument/2006/relationships" ref="N20" r:id="rId16"/>
    <hyperlink xmlns:r="http://schemas.openxmlformats.org/officeDocument/2006/relationships" ref="N21" r:id="rId17"/>
  </hyperlinks>
  <pageMargins left="0.75" right="0.75" top="1" bottom="1" header="0.5" footer="0.5"/>
  <tableParts count="1">
    <tablePart xmlns:r="http://schemas.openxmlformats.org/officeDocument/2006/relationships" r:id="rId18"/>
  </tableParts>
</worksheet>
</file>

<file path=xl/worksheets/sheet8.xml><?xml version="1.0" encoding="utf-8"?>
<worksheet xmlns="http://schemas.openxmlformats.org/spreadsheetml/2006/main">
  <sheetPr>
    <outlinePr summaryBelow="1" summaryRight="1"/>
    <pageSetUpPr/>
  </sheetPr>
  <dimension ref="A1:I25"/>
  <sheetViews>
    <sheetView showGridLines="0" workbookViewId="0">
      <pane ySplit="4" topLeftCell="A5" activePane="bottomLeft" state="frozen"/>
      <selection pane="bottomLeft" activeCell="A1" sqref="A1"/>
    </sheetView>
  </sheetViews>
  <sheetFormatPr baseColWidth="8" defaultRowHeight="15"/>
  <cols>
    <col width="8" customWidth="1" min="1" max="1"/>
    <col width="28" customWidth="1" min="2" max="2"/>
    <col width="35" customWidth="1" min="3" max="3"/>
    <col width="15" customWidth="1" min="4" max="4"/>
    <col width="24" customWidth="1" min="5" max="5"/>
    <col width="20" customWidth="1" min="6" max="6"/>
    <col width="37" customWidth="1" min="7" max="7"/>
    <col width="28" customWidth="1" min="8" max="8"/>
    <col width="32" customWidth="1" min="9" max="9"/>
  </cols>
  <sheetData>
    <row r="1" ht="28" customHeight="1">
      <c r="A1" s="1" t="inlineStr">
        <is>
          <t>15-speaker locatie- en kanaalplan</t>
        </is>
      </c>
    </row>
    <row r="2" ht="30" customHeight="1">
      <c r="A2" s="2" t="inlineStr">
        <is>
          <t>Provisional channel map. De exacte SOP9 pinout en de Pioneer-submodule worden in v1.1 verwerkt zodra het modelnummer beschikbaar is.</t>
        </is>
      </c>
    </row>
    <row r="4">
      <c r="A4" s="14" t="inlineStr">
        <is>
          <t>#</t>
        </is>
      </c>
      <c r="B4" s="14" t="inlineStr">
        <is>
          <t>Tesla speakerpositie</t>
        </is>
      </c>
      <c r="C4" s="14" t="inlineStr">
        <is>
          <t>Driver</t>
        </is>
      </c>
      <c r="D4" s="14" t="inlineStr">
        <is>
          <t>Physical speakers</t>
        </is>
      </c>
      <c r="E4" s="14" t="inlineStr">
        <is>
          <t>Amplification</t>
        </is>
      </c>
      <c r="F4" s="14" t="inlineStr">
        <is>
          <t>Provisional channel</t>
        </is>
      </c>
      <c r="G4" s="14" t="inlineStr">
        <is>
          <t>Crossover / DSP note</t>
        </is>
      </c>
      <c r="H4" s="14" t="inlineStr">
        <is>
          <t>Fitment status</t>
        </is>
      </c>
      <c r="I4" s="14" t="inlineStr">
        <is>
          <t>Risk / action</t>
        </is>
      </c>
    </row>
    <row r="5">
      <c r="A5" s="15" t="n">
        <v>1</v>
      </c>
      <c r="B5" s="15" t="inlineStr">
        <is>
          <t>Front door woofer L</t>
        </is>
      </c>
      <c r="C5" s="15" t="inlineStr">
        <is>
          <t>Ci3 W200FM-S3</t>
        </is>
      </c>
      <c r="D5" s="15" t="n">
        <v>1</v>
      </c>
      <c r="E5" s="15" t="inlineStr">
        <is>
          <t>Audison</t>
        </is>
      </c>
      <c r="F5" s="15" t="inlineStr">
        <is>
          <t>CH1</t>
        </is>
      </c>
      <c r="G5" s="15" t="inlineStr">
        <is>
          <t>HP/LP DSP; final XO after measurement</t>
        </is>
      </c>
      <c r="H5" s="15" t="inlineStr">
        <is>
          <t>Highland adapter included</t>
        </is>
      </c>
      <c r="I5" s="15" t="inlineStr">
        <is>
          <t>Low risk</t>
        </is>
      </c>
    </row>
    <row r="6">
      <c r="A6" s="15" t="n">
        <v>2</v>
      </c>
      <c r="B6" s="15" t="inlineStr">
        <is>
          <t>Front door woofer R</t>
        </is>
      </c>
      <c r="C6" s="15" t="inlineStr">
        <is>
          <t>Ci3 W200FM-S3</t>
        </is>
      </c>
      <c r="D6" s="15" t="n">
        <v>1</v>
      </c>
      <c r="E6" s="15" t="inlineStr">
        <is>
          <t>Audison</t>
        </is>
      </c>
      <c r="F6" s="15" t="inlineStr">
        <is>
          <t>CH2</t>
        </is>
      </c>
      <c r="G6" s="15" t="inlineStr">
        <is>
          <t>HP/LP DSP; final XO after measurement</t>
        </is>
      </c>
      <c r="H6" s="15" t="inlineStr">
        <is>
          <t>Highland adapter included</t>
        </is>
      </c>
      <c r="I6" s="15" t="inlineStr">
        <is>
          <t>Low risk</t>
        </is>
      </c>
    </row>
    <row r="7">
      <c r="A7" s="15" t="n">
        <v>3</v>
      </c>
      <c r="B7" s="15" t="inlineStr">
        <is>
          <t>Dash mid L + front tweeter L</t>
        </is>
      </c>
      <c r="C7" s="15" t="inlineStr">
        <is>
          <t>Ci3 M100FM-S3 + T20FM-TI</t>
        </is>
      </c>
      <c r="D7" s="15" t="n">
        <v>2</v>
      </c>
      <c r="E7" s="15" t="inlineStr">
        <is>
          <t>Audison via passive XO</t>
        </is>
      </c>
      <c r="F7" s="15" t="inlineStr">
        <is>
          <t>CH3</t>
        </is>
      </c>
      <c r="G7" s="15" t="inlineStr">
        <is>
          <t>Integrated 6 dB crossover in Highland kit</t>
        </is>
      </c>
      <c r="H7" s="15" t="inlineStr">
        <is>
          <t>Kit supplied</t>
        </is>
      </c>
      <c r="I7" s="15" t="inlineStr">
        <is>
          <t>Verify wiring polarity</t>
        </is>
      </c>
    </row>
    <row r="8">
      <c r="A8" s="15" t="n">
        <v>4</v>
      </c>
      <c r="B8" s="15" t="inlineStr">
        <is>
          <t>Dash mid R + front tweeter R</t>
        </is>
      </c>
      <c r="C8" s="15" t="inlineStr">
        <is>
          <t>Ci3 M100FM-S3 + T20FM-TI</t>
        </is>
      </c>
      <c r="D8" s="15" t="n">
        <v>2</v>
      </c>
      <c r="E8" s="15" t="inlineStr">
        <is>
          <t>Audison via passive XO</t>
        </is>
      </c>
      <c r="F8" s="15" t="inlineStr">
        <is>
          <t>CH4</t>
        </is>
      </c>
      <c r="G8" s="15" t="inlineStr">
        <is>
          <t>Integrated 6 dB crossover in Highland kit</t>
        </is>
      </c>
      <c r="H8" s="15" t="inlineStr">
        <is>
          <t>Kit supplied</t>
        </is>
      </c>
      <c r="I8" s="15" t="inlineStr">
        <is>
          <t>Verify wiring polarity</t>
        </is>
      </c>
    </row>
    <row r="9">
      <c r="A9" s="15" t="n">
        <v>5</v>
      </c>
      <c r="B9" s="15" t="inlineStr">
        <is>
          <t>Dash center</t>
        </is>
      </c>
      <c r="C9" s="15" t="inlineStr">
        <is>
          <t>Ci3 C100.2FM-S3</t>
        </is>
      </c>
      <c r="D9" s="15" t="n">
        <v>1</v>
      </c>
      <c r="E9" s="15" t="inlineStr">
        <is>
          <t>Audison</t>
        </is>
      </c>
      <c r="F9" s="15" t="inlineStr">
        <is>
          <t>CH5</t>
        </is>
      </c>
      <c r="G9" s="15" t="inlineStr">
        <is>
          <t>Center level / delay / upmix as desired</t>
        </is>
      </c>
      <c r="H9" s="15" t="inlineStr">
        <is>
          <t>Kit supplied</t>
        </is>
      </c>
      <c r="I9" s="15" t="inlineStr">
        <is>
          <t>Tune conservatively</t>
        </is>
      </c>
    </row>
    <row r="10">
      <c r="A10" s="15" t="n">
        <v>6</v>
      </c>
      <c r="B10" s="15" t="inlineStr">
        <is>
          <t>Front door 80 mm L</t>
        </is>
      </c>
      <c r="C10" s="15" t="inlineStr">
        <is>
          <t>Ci5 M80FM-S3</t>
        </is>
      </c>
      <c r="D10" s="15" t="n">
        <v>1</v>
      </c>
      <c r="E10" s="15" t="inlineStr">
        <is>
          <t>Audison</t>
        </is>
      </c>
      <c r="F10" s="15" t="inlineStr">
        <is>
          <t>CH6</t>
        </is>
      </c>
      <c r="G10" s="15" t="inlineStr">
        <is>
          <t>Band-pass DSP</t>
        </is>
      </c>
      <c r="H10" s="15" t="inlineStr">
        <is>
          <t>Adapter TBD</t>
        </is>
      </c>
      <c r="I10" s="15" t="inlineStr">
        <is>
          <t>Physical adapter check</t>
        </is>
      </c>
    </row>
    <row r="11">
      <c r="A11" s="15" t="n">
        <v>7</v>
      </c>
      <c r="B11" s="15" t="inlineStr">
        <is>
          <t>Front door 80 mm R</t>
        </is>
      </c>
      <c r="C11" s="15" t="inlineStr">
        <is>
          <t>Ci5 M80FM-S3</t>
        </is>
      </c>
      <c r="D11" s="15" t="n">
        <v>1</v>
      </c>
      <c r="E11" s="15" t="inlineStr">
        <is>
          <t>Audison</t>
        </is>
      </c>
      <c r="F11" s="15" t="inlineStr">
        <is>
          <t>CH7</t>
        </is>
      </c>
      <c r="G11" s="15" t="inlineStr">
        <is>
          <t>Band-pass DSP</t>
        </is>
      </c>
      <c r="H11" s="15" t="inlineStr">
        <is>
          <t>Adapter TBD</t>
        </is>
      </c>
      <c r="I11" s="15" t="inlineStr">
        <is>
          <t>Physical adapter check</t>
        </is>
      </c>
    </row>
    <row r="12">
      <c r="A12" s="15" t="n">
        <v>8</v>
      </c>
      <c r="B12" s="15" t="inlineStr">
        <is>
          <t>Rear door L</t>
        </is>
      </c>
      <c r="C12" s="15" t="inlineStr">
        <is>
          <t>Ci3 M100FM-S3</t>
        </is>
      </c>
      <c r="D12" s="15" t="n">
        <v>1</v>
      </c>
      <c r="E12" s="15" t="inlineStr">
        <is>
          <t>Audison</t>
        </is>
      </c>
      <c r="F12" s="15" t="inlineStr">
        <is>
          <t>CH8</t>
        </is>
      </c>
      <c r="G12" s="15" t="inlineStr">
        <is>
          <t>Band-pass / full-range depending cabin tune</t>
        </is>
      </c>
      <c r="H12" s="15" t="inlineStr">
        <is>
          <t>Adapter TBD</t>
        </is>
      </c>
      <c r="I12" s="15" t="inlineStr">
        <is>
          <t>Connector check</t>
        </is>
      </c>
    </row>
    <row r="13">
      <c r="A13" s="15" t="n">
        <v>9</v>
      </c>
      <c r="B13" s="15" t="inlineStr">
        <is>
          <t>Rear door R</t>
        </is>
      </c>
      <c r="C13" s="15" t="inlineStr">
        <is>
          <t>Ci3 M100FM-S3</t>
        </is>
      </c>
      <c r="D13" s="15" t="n">
        <v>1</v>
      </c>
      <c r="E13" s="15" t="inlineStr">
        <is>
          <t>Audison</t>
        </is>
      </c>
      <c r="F13" s="15" t="inlineStr">
        <is>
          <t>CH9</t>
        </is>
      </c>
      <c r="G13" s="15" t="inlineStr">
        <is>
          <t>Band-pass / full-range depending cabin tune</t>
        </is>
      </c>
      <c r="H13" s="15" t="inlineStr">
        <is>
          <t>Adapter TBD</t>
        </is>
      </c>
      <c r="I13" s="15" t="inlineStr">
        <is>
          <t>Connector check</t>
        </is>
      </c>
    </row>
    <row r="14">
      <c r="A14" s="15" t="n">
        <v>10</v>
      </c>
      <c r="B14" s="15" t="inlineStr">
        <is>
          <t>Parcel shelf L</t>
        </is>
      </c>
      <c r="C14" s="15" t="inlineStr">
        <is>
          <t>Ci3 M100FM-S3</t>
        </is>
      </c>
      <c r="D14" s="15" t="n">
        <v>1</v>
      </c>
      <c r="E14" s="15" t="inlineStr">
        <is>
          <t>Audison</t>
        </is>
      </c>
      <c r="F14" s="15" t="inlineStr">
        <is>
          <t>CH10</t>
        </is>
      </c>
      <c r="G14" s="15" t="inlineStr">
        <is>
          <t>Surround/rear fill; HP required</t>
        </is>
      </c>
      <c r="H14" s="15" t="inlineStr">
        <is>
          <t>Premium position / custom mount</t>
        </is>
      </c>
      <c r="I14" s="15" t="inlineStr">
        <is>
          <t>Verify physical opening and trim</t>
        </is>
      </c>
    </row>
    <row r="15">
      <c r="A15" s="15" t="n">
        <v>11</v>
      </c>
      <c r="B15" s="15" t="inlineStr">
        <is>
          <t>Parcel shelf R</t>
        </is>
      </c>
      <c r="C15" s="15" t="inlineStr">
        <is>
          <t>Ci3 M100FM-S3</t>
        </is>
      </c>
      <c r="D15" s="15" t="n">
        <v>1</v>
      </c>
      <c r="E15" s="15" t="inlineStr">
        <is>
          <t>Audison</t>
        </is>
      </c>
      <c r="F15" s="15" t="inlineStr">
        <is>
          <t>CH11</t>
        </is>
      </c>
      <c r="G15" s="15" t="inlineStr">
        <is>
          <t>Surround/rear fill; HP required</t>
        </is>
      </c>
      <c r="H15" s="15" t="inlineStr">
        <is>
          <t>Premium position / custom mount</t>
        </is>
      </c>
      <c r="I15" s="15" t="inlineStr">
        <is>
          <t>Verify physical opening and trim</t>
        </is>
      </c>
    </row>
    <row r="16">
      <c r="A16" s="78" t="n">
        <v>12</v>
      </c>
      <c r="B16" s="78" t="inlineStr">
        <is>
          <t>Headliner L</t>
        </is>
      </c>
      <c r="C16" s="78" t="inlineStr">
        <is>
          <t>Ci5 M50FM-S3</t>
        </is>
      </c>
      <c r="D16" s="78" t="n">
        <v>1</v>
      </c>
      <c r="E16" s="78" t="inlineStr">
        <is>
          <t>Auxiliary 2ch amp via Audison DSP OUT</t>
        </is>
      </c>
      <c r="F16" s="78" t="inlineStr">
        <is>
          <t>AUX-L</t>
        </is>
      </c>
      <c r="G16" s="78" t="inlineStr">
        <is>
          <t>PAUDIO-only endpoint X569; final HP/EQ in Audison DSP</t>
        </is>
      </c>
      <c r="H16" s="78" t="inlineStr">
        <is>
          <t>PAUDIO-only / adapter TBD</t>
        </is>
      </c>
      <c r="I16" s="78" t="inlineStr">
        <is>
          <t>Do not assume BAUDIO OEM channel; verify wire path or add new pigtail.</t>
        </is>
      </c>
    </row>
    <row r="17">
      <c r="A17" s="78" t="n">
        <v>13</v>
      </c>
      <c r="B17" s="78" t="inlineStr">
        <is>
          <t>Headliner R</t>
        </is>
      </c>
      <c r="C17" s="78" t="inlineStr">
        <is>
          <t>Ci5 M50FM-S3</t>
        </is>
      </c>
      <c r="D17" s="78" t="n">
        <v>1</v>
      </c>
      <c r="E17" s="78" t="inlineStr">
        <is>
          <t>Auxiliary 2ch amp via Audison DSP OUT</t>
        </is>
      </c>
      <c r="F17" s="78" t="inlineStr">
        <is>
          <t>AUX-R</t>
        </is>
      </c>
      <c r="G17" s="78" t="inlineStr">
        <is>
          <t>PAUDIO-only endpoint X579; final HP/EQ in Audison DSP</t>
        </is>
      </c>
      <c r="H17" s="78" t="inlineStr">
        <is>
          <t>PAUDIO-only / adapter TBD</t>
        </is>
      </c>
      <c r="I17" s="78" t="inlineStr">
        <is>
          <t>Do not assume BAUDIO OEM channel; verify wire path or add new pigtail.</t>
        </is>
      </c>
    </row>
    <row r="20">
      <c r="A20" s="35" t="inlineStr">
        <is>
          <t>Physical speaker count</t>
        </is>
      </c>
      <c r="B20" s="7">
        <f>SUM(D5:D17)</f>
        <v/>
      </c>
    </row>
    <row r="21">
      <c r="A21" t="inlineStr">
        <is>
          <t>Audison amp channels used</t>
        </is>
      </c>
      <c r="B21" t="inlineStr">
        <is>
          <t>11</t>
        </is>
      </c>
    </row>
    <row r="22">
      <c r="A22" t="inlineStr">
        <is>
          <t>Audison spare amp channels</t>
        </is>
      </c>
      <c r="B22" s="36">
        <f>12-B21</f>
        <v/>
      </c>
    </row>
    <row r="23">
      <c r="A23" t="inlineStr">
        <is>
          <t>Sub amp feed</t>
        </is>
      </c>
      <c r="B23" t="inlineStr">
        <is>
          <t>Audison DSP OUT → existing Pioneer amp</t>
        </is>
      </c>
    </row>
    <row r="25">
      <c r="A25" s="83" t="inlineStr">
        <is>
          <t>EPC correction</t>
        </is>
      </c>
      <c r="B25" s="84" t="inlineStr">
        <is>
          <t>Headliner X569/X579 are PAUDIO option endpoints. Existing BAUDIO 9 cannot be assumed to have active/populated headliner channels.</t>
        </is>
      </c>
    </row>
  </sheetData>
  <mergeCells count="3">
    <mergeCell ref="B25:I25"/>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5"/>
  <sheetViews>
    <sheetView showGridLines="0" workbookViewId="0">
      <pane ySplit="4" topLeftCell="A5" activePane="bottomLeft" state="frozen"/>
      <selection pane="bottomLeft" activeCell="A1" sqref="A1"/>
    </sheetView>
  </sheetViews>
  <sheetFormatPr baseColWidth="8" defaultRowHeight="15"/>
  <cols>
    <col width="17" customWidth="1" min="1" max="1"/>
    <col width="42" customWidth="1" min="2" max="2"/>
    <col width="8" customWidth="1" min="3" max="3"/>
    <col width="14" customWidth="1" min="4" max="4"/>
    <col width="15" customWidth="1" min="5" max="5"/>
    <col width="24" customWidth="1" min="6" max="6"/>
    <col width="30" customWidth="1" min="7" max="7"/>
    <col width="46" customWidth="1" min="8" max="8"/>
    <col width="39" customWidth="1" min="9" max="9"/>
    <col width="62" customWidth="1" min="10" max="10"/>
    <col width="13" customWidth="1" min="11" max="11"/>
    <col width="12" customWidth="1" min="12" max="12"/>
  </cols>
  <sheetData>
    <row r="1" ht="25" customHeight="1">
      <c r="A1" s="118" t="inlineStr">
        <is>
          <t>FULL HELIX BUDGET BOM — COMMON SPEAKER / CONTROL BASKET</t>
        </is>
      </c>
    </row>
    <row r="2" ht="35" customHeight="1">
      <c r="A2" s="119" t="inlineStr">
        <is>
          <t>Price snapshot 2026-09-10. Current Germany-first value basket for 15 physical cabin speakers. Current lead uses V EIGHTEEN separately; this common basket contains speakers/controller/harness basis only. Supplier feedback is treated separately from verified product-page data.</t>
        </is>
      </c>
    </row>
    <row r="4" ht="34" customHeight="1">
      <c r="A4" s="76" t="inlineStr">
        <is>
          <t>Category</t>
        </is>
      </c>
      <c r="B4" s="76" t="inlineStr">
        <is>
          <t>Part / package</t>
        </is>
      </c>
      <c r="C4" s="76" t="inlineStr">
        <is>
          <t>Qty</t>
        </is>
      </c>
      <c r="D4" s="76" t="inlineStr">
        <is>
          <t>Unit price €</t>
        </is>
      </c>
      <c r="E4" s="76" t="inlineStr">
        <is>
          <t>Line total €</t>
        </is>
      </c>
      <c r="F4" s="76" t="inlineStr">
        <is>
          <t>Country / seller</t>
        </is>
      </c>
      <c r="G4" s="76" t="inlineStr">
        <is>
          <t>Role / positions</t>
        </is>
      </c>
      <c r="H4" s="76" t="inlineStr">
        <is>
          <t>Fit / architecture note</t>
        </is>
      </c>
      <c r="I4" s="76" t="inlineStr">
        <is>
          <t>Availability / shipping</t>
        </is>
      </c>
      <c r="J4" s="76" t="inlineStr">
        <is>
          <t>Source URL</t>
        </is>
      </c>
      <c r="K4" s="76" t="inlineStr">
        <is>
          <t>Checked</t>
        </is>
      </c>
      <c r="L4" s="76" t="inlineStr">
        <is>
          <t>Confidence</t>
        </is>
      </c>
    </row>
    <row r="5">
      <c r="A5" s="120" t="inlineStr">
        <is>
          <t>Speaker package</t>
        </is>
      </c>
      <c r="B5" s="120" t="inlineStr">
        <is>
          <t>HELIX Compose Ci3 K200.2TES4 Tesla Model 3 Highland</t>
        </is>
      </c>
      <c r="C5" s="121" t="n">
        <v>1</v>
      </c>
      <c r="D5" s="122" t="n">
        <v>729</v>
      </c>
      <c r="E5" s="123">
        <f>C5*D5</f>
        <v/>
      </c>
      <c r="F5" s="120" t="inlineStr">
        <is>
          <t>DE · CarHifi-Store Bünde</t>
        </is>
      </c>
      <c r="G5" s="120" t="inlineStr">
        <is>
          <t>7 physical front/center speakers</t>
        </is>
      </c>
      <c r="H5" s="120" t="inlineStr">
        <is>
          <t>2x woofer + 2x mid + 2x tweeter + center; supplied as passive 2.5-way L/R front system with Highland adapters/connectors. For the final 15-channel full-active map, bypass/rewire the passive L/R crossover and route front mid/tweeter drivers individually.</t>
        </is>
      </c>
      <c r="I5" s="120" t="inlineStr">
        <is>
          <t>Sofort verfügbar in current listing; pickup/shipping timing confirm before order</t>
        </is>
      </c>
      <c r="J5" s="124" t="inlineStr">
        <is>
          <t>https://www.carhifi-store-buende.de/lautsprecher/nach-fahrzeug/tesla/model-3-highland/</t>
        </is>
      </c>
      <c r="K5" s="120" t="inlineStr">
        <is>
          <t>2026-09-10</t>
        </is>
      </c>
      <c r="L5" s="120" t="inlineStr">
        <is>
          <t>HIGH</t>
        </is>
      </c>
    </row>
    <row r="6">
      <c r="A6" s="120" t="inlineStr">
        <is>
          <t>Speaker pair</t>
        </is>
      </c>
      <c r="B6" s="120" t="inlineStr">
        <is>
          <t>HELIX Ci5 M80FM-S3</t>
        </is>
      </c>
      <c r="C6" s="121" t="n">
        <v>1</v>
      </c>
      <c r="D6" s="122" t="n">
        <v>199</v>
      </c>
      <c r="E6" s="123">
        <f>C6*D6</f>
        <v/>
      </c>
      <c r="F6" s="120" t="inlineStr">
        <is>
          <t>DE · CarHifi-Store Bünde</t>
        </is>
      </c>
      <c r="G6" s="120" t="inlineStr">
        <is>
          <t>Front door 80 mm L/R X570/X580</t>
        </is>
      </c>
      <c r="H6" s="120" t="inlineStr">
        <is>
          <t>Exact SOP9 physical adapter/pigtail still verify</t>
        </is>
      </c>
      <c r="I6" s="120" t="inlineStr">
        <is>
          <t>Sofort verfügbar in current listing</t>
        </is>
      </c>
      <c r="J6" s="124" t="inlineStr">
        <is>
          <t>https://www.carhifi-store-buende.de/helix-ci5-m80fm-s3</t>
        </is>
      </c>
      <c r="K6" s="120" t="inlineStr">
        <is>
          <t>2026-09-10</t>
        </is>
      </c>
      <c r="L6" s="120" t="inlineStr">
        <is>
          <t>HIGH</t>
        </is>
      </c>
    </row>
    <row r="7">
      <c r="A7" s="120" t="inlineStr">
        <is>
          <t>Speaker pairs</t>
        </is>
      </c>
      <c r="B7" s="120" t="inlineStr">
        <is>
          <t>HELIX Ci3 M100FM-S3</t>
        </is>
      </c>
      <c r="C7" s="121" t="n">
        <v>2</v>
      </c>
      <c r="D7" s="122" t="n">
        <v>159</v>
      </c>
      <c r="E7" s="123">
        <f>C7*D7</f>
        <v/>
      </c>
      <c r="F7" s="120" t="inlineStr">
        <is>
          <t>DE · CarHifi-Store Bünde</t>
        </is>
      </c>
      <c r="G7" s="120" t="inlineStr">
        <is>
          <t>Rear doors + parcel shelf (4 drivers)</t>
        </is>
      </c>
      <c r="H7" s="120" t="inlineStr">
        <is>
          <t>Rear/parcel SOP9 adapter geometry still verify</t>
        </is>
      </c>
      <c r="I7" s="120" t="inlineStr">
        <is>
          <t>Sofort verfügbar in current listing</t>
        </is>
      </c>
      <c r="J7" s="124" t="inlineStr">
        <is>
          <t>https://www.carhifi-store-buende.de/helix-ci3-m100fm-s3</t>
        </is>
      </c>
      <c r="K7" s="120" t="inlineStr">
        <is>
          <t>2026-09-10</t>
        </is>
      </c>
      <c r="L7" s="120" t="inlineStr">
        <is>
          <t>HIGH</t>
        </is>
      </c>
    </row>
    <row r="8">
      <c r="A8" s="120" t="inlineStr">
        <is>
          <t>Speaker pair</t>
        </is>
      </c>
      <c r="B8" s="120" t="inlineStr">
        <is>
          <t>HELIX Ci5 M50FM-S3</t>
        </is>
      </c>
      <c r="C8" s="121" t="n">
        <v>1</v>
      </c>
      <c r="D8" s="122" t="n">
        <v>169</v>
      </c>
      <c r="E8" s="123">
        <f>C8*D8</f>
        <v/>
      </c>
      <c r="F8" s="120" t="inlineStr">
        <is>
          <t>DE · CarHifi-Store Bünde</t>
        </is>
      </c>
      <c r="G8" s="120" t="inlineStr">
        <is>
          <t>Headliner L/R X569/X579</t>
        </is>
      </c>
      <c r="H8" s="120" t="inlineStr">
        <is>
          <t>PAUDIO-only target positions; custom mount/pigtail verify</t>
        </is>
      </c>
      <c r="I8" s="120" t="inlineStr">
        <is>
          <t>Sofort verfügbar in current listing</t>
        </is>
      </c>
      <c r="J8" s="124" t="inlineStr">
        <is>
          <t>https://www.carhifi-store-buende.de/helix-ci5-m50fm-s3</t>
        </is>
      </c>
      <c r="K8" s="120" t="inlineStr">
        <is>
          <t>2026-09-10</t>
        </is>
      </c>
      <c r="L8" s="120" t="inlineStr">
        <is>
          <t>HIGH</t>
        </is>
      </c>
    </row>
    <row r="9">
      <c r="A9" s="120" t="inlineStr">
        <is>
          <t>Adapter reserve</t>
        </is>
      </c>
      <c r="B9" s="120" t="inlineStr">
        <is>
          <t>HELIX FlexMount100 Tesla adapter reserve</t>
        </is>
      </c>
      <c r="C9" s="121" t="n">
        <v>2</v>
      </c>
      <c r="D9" s="122" t="n">
        <v>19.99</v>
      </c>
      <c r="E9" s="123">
        <f>C9*D9</f>
        <v/>
      </c>
      <c r="F9" s="120" t="inlineStr">
        <is>
          <t>DE / EU reference</t>
        </is>
      </c>
      <c r="G9" s="120" t="inlineStr">
        <is>
          <t>Rear/parcel 100 mm positions</t>
        </is>
      </c>
      <c r="H9" s="120" t="inlineStr">
        <is>
          <t>Planning reserve only; exact SOP9 rear/parcel adapter count must be verified</t>
        </is>
      </c>
      <c r="I9" s="120" t="inlineStr">
        <is>
          <t>Do not order until physical EPC/fit check</t>
        </is>
      </c>
      <c r="J9" s="124" t="inlineStr">
        <is>
          <t>https://www.audiotec-fischer.de/en/tools/flexmount-finder/</t>
        </is>
      </c>
      <c r="K9" s="120" t="inlineStr">
        <is>
          <t>2026-09-06</t>
        </is>
      </c>
      <c r="L9" s="120" t="inlineStr">
        <is>
          <t>MEDIUM</t>
        </is>
      </c>
    </row>
    <row r="10">
      <c r="A10" s="120" t="inlineStr">
        <is>
          <t>Tesla interface</t>
        </is>
      </c>
      <c r="B10" s="120" t="inlineStr">
        <is>
          <t>MATCH PP-TES 1.7B Highland</t>
        </is>
      </c>
      <c r="C10" s="121" t="n">
        <v>1</v>
      </c>
      <c r="D10" s="122" t="n">
        <v>129</v>
      </c>
      <c r="E10" s="123">
        <f>C10*D10</f>
        <v/>
      </c>
      <c r="F10" s="120" t="inlineStr">
        <is>
          <t>DE · CarHifi-Store Bünde</t>
        </is>
      </c>
      <c r="G10" s="120" t="inlineStr">
        <is>
          <t>Tesla-side no-cut donor / interposer</t>
        </is>
      </c>
      <c r="H10" s="120" t="inlineStr">
        <is>
          <t>Officially intended for MATCH UP10; HELIX V-series side requires custom repin/interposer</t>
        </is>
      </c>
      <c r="I10" s="120" t="inlineStr">
        <is>
          <t>Sofort verfügbar; officially intended for MATCH UP10, so use only as Tesla-side donor/interposer basis</t>
        </is>
      </c>
      <c r="J10" s="124" t="inlineStr">
        <is>
          <t>https://www.carhifi-store-buende.de/match-pp-tes-1.7b-highland</t>
        </is>
      </c>
      <c r="K10" s="120" t="inlineStr">
        <is>
          <t>2026-09-10</t>
        </is>
      </c>
      <c r="L10" s="120" t="inlineStr">
        <is>
          <t>HIGH</t>
        </is>
      </c>
    </row>
    <row r="11">
      <c r="A11" s="120" t="inlineStr">
        <is>
          <t>Controller</t>
        </is>
      </c>
      <c r="B11" s="120" t="inlineStr">
        <is>
          <t>HELIX DIRECTOR display remote — connector variant matched to DSP</t>
        </is>
      </c>
      <c r="C11" s="121" t="n">
        <v>1</v>
      </c>
      <c r="D11" s="122" t="n">
        <v>249</v>
      </c>
      <c r="E11" s="123">
        <f>C11*D11</f>
        <v/>
      </c>
      <c r="F11" s="120" t="inlineStr">
        <is>
          <t>DE/FR · ARS24</t>
        </is>
      </c>
      <c r="G11" s="120" t="inlineStr">
        <is>
          <t>Touchscreen DSP / master / sub control</t>
        </is>
      </c>
      <c r="H11" s="120" t="inlineStr">
        <is>
          <t>Use DIRECTOR for SCP on V EIGHTEEN / V TWELVE MK2 / NEXT V EIGHT ULTIMATE; legacy V EIGHT MK1/MK2 requires DIRECTOR for Control Input. Price basis remains €249.</t>
        </is>
      </c>
      <c r="I11" s="120" t="inlineStr">
        <is>
          <t>2–3 day listing; ships HELIX only to DE/AT/FR. NL HifiMotive RRP €299. Pickup/logistics may change best source.</t>
        </is>
      </c>
      <c r="J11" s="124" t="inlineStr">
        <is>
          <t>https://www.ars24.com/en/helix-director-for-scp</t>
        </is>
      </c>
      <c r="K11" s="120" t="inlineStr">
        <is>
          <t>2026-09-10</t>
        </is>
      </c>
      <c r="L11" s="120" t="inlineStr">
        <is>
          <t>HIGH</t>
        </is>
      </c>
    </row>
    <row r="13">
      <c r="A13" s="35" t="inlineStr">
        <is>
          <t>COMMON KNOWN HARDWARE TOTAL</t>
        </is>
      </c>
      <c r="E13" s="125">
        <f>SUM(E5:E11)</f>
        <v/>
      </c>
    </row>
    <row r="14">
      <c r="A14" t="inlineStr">
        <is>
          <t>Includes</t>
        </is>
      </c>
      <c r="B14" s="41" t="inlineStr">
        <is>
          <t>15 physical cabin speakers, HELIX DIRECTOR and Tesla-side harness donor/interposer. Does NOT include the V EIGHTEEN main DSP/amp.</t>
        </is>
      </c>
    </row>
    <row r="15">
      <c r="A15" t="inlineStr">
        <is>
          <t>Excluded / TBD</t>
        </is>
      </c>
      <c r="B15" s="41" t="inlineStr">
        <is>
          <t>Power cable, high-current fusing/distribution, damping, custom SOP9 pigtails/mounts, final interposer construction, shipping where not explicit, and Pioneer voltage/inrush hardware remain excluded/TBD.</t>
        </is>
      </c>
    </row>
  </sheetData>
  <mergeCells count="4">
    <mergeCell ref="B14:L14"/>
    <mergeCell ref="A2:L2"/>
    <mergeCell ref="B15:L15"/>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22"/>
  <sheetViews>
    <sheetView showGridLines="0" workbookViewId="0">
      <pane ySplit="4" topLeftCell="A5" activePane="bottomLeft" state="frozen"/>
      <selection pane="bottomLeft" activeCell="A1" sqref="A1"/>
    </sheetView>
  </sheetViews>
  <sheetFormatPr baseColWidth="8" defaultRowHeight="15"/>
  <cols>
    <col width="7" customWidth="1" min="1" max="1"/>
    <col width="23" customWidth="1" min="2" max="2"/>
    <col width="31" customWidth="1" min="3" max="3"/>
    <col width="33" customWidth="1" min="4" max="4"/>
    <col width="13" customWidth="1" min="5" max="5"/>
    <col width="17" customWidth="1" min="6" max="6"/>
    <col width="35" customWidth="1" min="7" max="7"/>
    <col width="17" customWidth="1" min="8" max="8"/>
    <col width="34" customWidth="1" min="9" max="9"/>
    <col width="15" customWidth="1" min="10" max="10"/>
    <col width="14" customWidth="1" min="11" max="11"/>
    <col width="15" customWidth="1" min="12" max="12"/>
    <col width="14" customWidth="1" min="13" max="13"/>
    <col width="16" customWidth="1" min="14" max="14"/>
    <col width="40" customWidth="1" min="15" max="15"/>
    <col width="39" customWidth="1" min="16" max="16"/>
    <col width="39" customWidth="1" min="17" max="17"/>
    <col width="22" customWidth="1" min="18" max="18"/>
    <col hidden="1" width="13" customWidth="1" min="20" max="20"/>
    <col hidden="1" width="13" customWidth="1" min="21" max="21"/>
    <col width="19" customWidth="1" min="22" max="22"/>
    <col width="20" customWidth="1" min="23" max="23"/>
    <col width="20" customWidth="1" min="24" max="24"/>
  </cols>
  <sheetData>
    <row r="1" ht="25" customHeight="1">
      <c r="A1" s="118" t="inlineStr">
        <is>
          <t>FULL HELIX BUDGET ROUTES — €3,500 TARGET / €4,000 HARD CAP</t>
        </is>
      </c>
    </row>
    <row r="2" ht="35" customHeight="1">
      <c r="A2" s="119" t="inlineStr">
        <is>
          <t>All routes use the refreshed 2026-09-10 15-speaker HELIX-DE value basket and retained Pioneer donor subsystem. The V EIGHTEEN is the current lead; split/staged routes remain for budget comparison. A €250 planning reserve is illustrative, not a quote.</t>
        </is>
      </c>
      <c r="V2" s="142" t="inlineStr">
        <is>
          <t>Planning reserve €</t>
        </is>
      </c>
      <c r="W2" s="143" t="n">
        <v>250</v>
      </c>
    </row>
    <row r="4" ht="34" customHeight="1">
      <c r="A4" s="76" t="inlineStr">
        <is>
          <t>ID</t>
        </is>
      </c>
      <c r="B4" s="76" t="inlineStr">
        <is>
          <t>Architecture</t>
        </is>
      </c>
      <c r="C4" s="76" t="inlineStr">
        <is>
          <t>Main DSP / amp</t>
        </is>
      </c>
      <c r="D4" s="76" t="inlineStr">
        <is>
          <t>Extension</t>
        </is>
      </c>
      <c r="E4" s="76" t="inlineStr">
        <is>
          <t>Central DSP ch.</t>
        </is>
      </c>
      <c r="F4" s="76" t="inlineStr">
        <is>
          <t>Cabin amp feeds</t>
        </is>
      </c>
      <c r="G4" s="76" t="inlineStr">
        <is>
          <t>Front L/R mid+tweeter strategy</t>
        </is>
      </c>
      <c r="H4" s="76" t="inlineStr">
        <is>
          <t>15 physical speakers?</t>
        </is>
      </c>
      <c r="I4" s="76" t="inlineStr">
        <is>
          <t>Pioneer sub DSP path</t>
        </is>
      </c>
      <c r="J4" s="76" t="inlineStr">
        <is>
          <t>Common basket €</t>
        </is>
      </c>
      <c r="K4" s="76" t="inlineStr">
        <is>
          <t>DSP/amp €</t>
        </is>
      </c>
      <c r="L4" s="76" t="inlineStr">
        <is>
          <t>Known total €</t>
        </is>
      </c>
      <c r="M4" s="76" t="inlineStr">
        <is>
          <t>Δ vs €3,500</t>
        </is>
      </c>
      <c r="N4" s="76" t="inlineStr">
        <is>
          <t>Headroom to €4,000</t>
        </is>
      </c>
      <c r="O4" s="76" t="inlineStr">
        <is>
          <t>Future path</t>
        </is>
      </c>
      <c r="P4" s="76" t="inlineStr">
        <is>
          <t>Main benefit</t>
        </is>
      </c>
      <c r="Q4" s="76" t="inlineStr">
        <is>
          <t>Trade-off</t>
        </is>
      </c>
      <c r="R4" s="76" t="inlineStr">
        <is>
          <t>Status</t>
        </is>
      </c>
      <c r="T4" t="inlineStr">
        <is>
          <t>Route</t>
        </is>
      </c>
      <c r="U4" t="inlineStr">
        <is>
          <t>Known total</t>
        </is>
      </c>
      <c r="V4" t="inlineStr">
        <is>
          <t>Practical total incl. reserve</t>
        </is>
      </c>
      <c r="W4" t="inlineStr">
        <is>
          <t>Δ vs €3,500 incl. reserve</t>
        </is>
      </c>
      <c r="X4" t="inlineStr">
        <is>
          <t>Headroom to €4,000 incl. reserve</t>
        </is>
      </c>
    </row>
    <row r="5">
      <c r="A5" s="126" t="inlineStr">
        <is>
          <t>R1</t>
        </is>
      </c>
      <c r="B5" s="126" t="inlineStr">
        <is>
          <t>ONE-BOX FUTURE-PROOF</t>
        </is>
      </c>
      <c r="C5" s="126" t="inlineStr">
        <is>
          <t>HELIX V EIGHTEEN DSP</t>
        </is>
      </c>
      <c r="D5" s="126" t="inlineStr">
        <is>
          <t>None</t>
        </is>
      </c>
      <c r="E5" s="126" t="n">
        <v>20</v>
      </c>
      <c r="F5" s="126" t="inlineStr">
        <is>
          <t>18 available</t>
        </is>
      </c>
      <c r="G5" s="126" t="inlineStr">
        <is>
          <t>Passive Ci3 kit initially; can later bypass XO for 15-channel full active</t>
        </is>
      </c>
      <c r="H5" s="126" t="inlineStr">
        <is>
          <t>YES</t>
        </is>
      </c>
      <c r="I5" s="126" t="inlineStr">
        <is>
          <t>Processed RCA OUT → Pioneer donor amp</t>
        </is>
      </c>
      <c r="J5" s="127">
        <f>'HELIX_Budget_BOM'!E13</f>
        <v/>
      </c>
      <c r="K5" s="128" t="n">
        <v>1799</v>
      </c>
      <c r="L5" s="144">
        <f>J5+K5</f>
        <v/>
      </c>
      <c r="M5" s="145">
        <f>3500-L5</f>
        <v/>
      </c>
      <c r="N5" s="145">
        <f>4000-L5</f>
        <v/>
      </c>
      <c r="O5" s="126" t="inlineStr">
        <is>
          <t>Start passive at 13 feeds; later full-active 15 without changing DSP</t>
        </is>
      </c>
      <c r="P5" s="126" t="inlineStr">
        <is>
          <t>Simplest wiring, 18 amp / 20 DSP, 3 spare amp channels after full-active conversion</t>
        </is>
      </c>
      <c r="Q5" s="126" t="inlineStr">
        <is>
          <t>~€112 over €3,500 before shipping/wiring</t>
        </is>
      </c>
      <c r="R5" s="146" t="inlineStr">
        <is>
          <t>RECOMMENDED</t>
        </is>
      </c>
      <c r="T5" t="inlineStr">
        <is>
          <t>R1</t>
        </is>
      </c>
      <c r="U5" s="132" t="n">
        <v>3611.98</v>
      </c>
      <c r="V5" s="147">
        <f>L5+$W$2</f>
        <v/>
      </c>
      <c r="W5" s="147">
        <f>3500-V5</f>
        <v/>
      </c>
      <c r="X5" s="147">
        <f>4000-V5</f>
        <v/>
      </c>
    </row>
    <row r="6">
      <c r="A6" s="126" t="inlineStr">
        <is>
          <t>R2</t>
        </is>
      </c>
      <c r="B6" s="126" t="inlineStr">
        <is>
          <t>BEST NEW ~€3.5K SPLIT</t>
        </is>
      </c>
      <c r="C6" s="126" t="inlineStr">
        <is>
          <t>HELIX NEXT V EIGHT DSP ULTIMATE</t>
        </is>
      </c>
      <c r="D6" s="126" t="inlineStr">
        <is>
          <t>HELIX AMPLIFY 206 DIRECT</t>
        </is>
      </c>
      <c r="E6" s="126" t="n">
        <v>14</v>
      </c>
      <c r="F6" s="126" t="inlineStr">
        <is>
          <t>8 + 6 available</t>
        </is>
      </c>
      <c r="G6" s="126" t="inlineStr">
        <is>
          <t>KEEP Highland kit passive L/R → 13 cabin feeds total</t>
        </is>
      </c>
      <c r="H6" s="126" t="inlineStr">
        <is>
          <t>YES</t>
        </is>
      </c>
      <c r="I6" s="126" t="inlineStr">
        <is>
          <t>6th processed RCA → Pioneer donor amp</t>
        </is>
      </c>
      <c r="J6" s="127">
        <f>'HELIX_Budget_BOM'!E13</f>
        <v/>
      </c>
      <c r="K6" s="128" t="n">
        <v>1708</v>
      </c>
      <c r="L6" s="144">
        <f>J6+K6</f>
        <v/>
      </c>
      <c r="M6" s="145">
        <f>3500-L6</f>
        <v/>
      </c>
      <c r="N6" s="145">
        <f>4000-L6</f>
        <v/>
      </c>
      <c r="O6" s="126" t="inlineStr">
        <is>
          <t>14 DSP outputs exactly cover 13 cabin feeds + sub; no second DSP</t>
        </is>
      </c>
      <c r="P6" s="126" t="inlineStr">
        <is>
          <t>Only ~€21 over €3,500; stronger per-channel power; 206 DIRECT designed for HELIX DSP expansion</t>
        </is>
      </c>
      <c r="Q6" s="126" t="inlineStr">
        <is>
          <t>Two amplifier boxes; no room for 15 fully-active cabin channels + sub on the 14-channel central DSP</t>
        </is>
      </c>
      <c r="R6" s="146" t="inlineStr">
        <is>
          <t>VALUE PICK</t>
        </is>
      </c>
      <c r="T6" t="inlineStr">
        <is>
          <t>R2</t>
        </is>
      </c>
      <c r="U6" s="132" t="n">
        <v>3520.98</v>
      </c>
      <c r="V6" s="147">
        <f>L6+$W$2</f>
        <v/>
      </c>
      <c r="W6" s="147">
        <f>3500-V6</f>
        <v/>
      </c>
      <c r="X6" s="147">
        <f>4000-V6</f>
        <v/>
      </c>
    </row>
    <row r="7">
      <c r="A7" s="126" t="inlineStr">
        <is>
          <t>R3</t>
        </is>
      </c>
      <c r="B7" s="126" t="inlineStr">
        <is>
          <t>12CH + SMALL AMP</t>
        </is>
      </c>
      <c r="C7" s="126" t="inlineStr">
        <is>
          <t>HELIX V TWELVE DSP MK2</t>
        </is>
      </c>
      <c r="D7" s="126" t="inlineStr">
        <is>
          <t>HELIX AMPLIFY 204 DIRECT</t>
        </is>
      </c>
      <c r="E7" s="126" t="n">
        <v>14</v>
      </c>
      <c r="F7" s="126" t="inlineStr">
        <is>
          <t>12 + up to 4</t>
        </is>
      </c>
      <c r="G7" s="126" t="inlineStr">
        <is>
          <t>KEEP Highland kit passive L/R → 13 cabin feeds total</t>
        </is>
      </c>
      <c r="H7" s="126" t="inlineStr">
        <is>
          <t>YES</t>
        </is>
      </c>
      <c r="I7" s="126" t="inlineStr">
        <is>
          <t>One V TWELVE RCA → external cabin feed; other RCA → Pioneer donor amp</t>
        </is>
      </c>
      <c r="J7" s="127">
        <f>'HELIX_Budget_BOM'!E13</f>
        <v/>
      </c>
      <c r="K7" s="128" t="n">
        <v>1738</v>
      </c>
      <c r="L7" s="144">
        <f>J7+K7</f>
        <v/>
      </c>
      <c r="M7" s="145">
        <f>3500-L7</f>
        <v/>
      </c>
      <c r="N7" s="145">
        <f>4000-L7</f>
        <v/>
      </c>
      <c r="O7" s="126" t="inlineStr">
        <is>
          <t>Can start V TWELVE only and add 204 later</t>
        </is>
      </c>
      <c r="P7" s="126" t="inlineStr">
        <is>
          <t>Simple 12-channel core; staged purchase possible</t>
        </is>
      </c>
      <c r="Q7" s="126" t="inlineStr">
        <is>
          <t>Uses only one 204 channel in preferred 13-feed map; nearly same price as R2 with less expansion</t>
        </is>
      </c>
      <c r="R7" s="148" t="inlineStr">
        <is>
          <t>GOOD STAGED</t>
        </is>
      </c>
      <c r="T7" t="inlineStr">
        <is>
          <t>R3</t>
        </is>
      </c>
      <c r="U7" s="132" t="n">
        <v>3550.98</v>
      </c>
      <c r="V7" s="147">
        <f>L7+$W$2</f>
        <v/>
      </c>
      <c r="W7" s="147">
        <f>3500-V7</f>
        <v/>
      </c>
      <c r="X7" s="147">
        <f>4000-V7</f>
        <v/>
      </c>
    </row>
    <row r="8">
      <c r="A8" s="133" t="inlineStr">
        <is>
          <t>R4</t>
        </is>
      </c>
      <c r="B8" s="133" t="inlineStr">
        <is>
          <t>LOWEST NEW HELIX</t>
        </is>
      </c>
      <c r="C8" s="133" t="inlineStr">
        <is>
          <t>HELIX V TWELVE DSP MK2</t>
        </is>
      </c>
      <c r="D8" s="133" t="inlineStr">
        <is>
          <t>None</t>
        </is>
      </c>
      <c r="E8" s="133" t="n">
        <v>14</v>
      </c>
      <c r="F8" s="133" t="inlineStr">
        <is>
          <t>12</t>
        </is>
      </c>
      <c r="G8" s="133" t="inlineStr">
        <is>
          <t>Passive front pairs + combine the two headliners on one safe series/mono ambience feed</t>
        </is>
      </c>
      <c r="H8" s="133" t="inlineStr">
        <is>
          <t>YES, but 12 feeds</t>
        </is>
      </c>
      <c r="I8" s="133" t="inlineStr">
        <is>
          <t>Processed RCA → Pioneer donor amp</t>
        </is>
      </c>
      <c r="J8" s="134">
        <f>'HELIX_Budget_BOM'!E13</f>
        <v/>
      </c>
      <c r="K8" s="135" t="n">
        <v>1499</v>
      </c>
      <c r="L8" s="149">
        <f>J8+K8</f>
        <v/>
      </c>
      <c r="M8" s="150">
        <f>3500-L8</f>
        <v/>
      </c>
      <c r="N8" s="150">
        <f>4000-L8</f>
        <v/>
      </c>
      <c r="O8" s="133" t="inlineStr">
        <is>
          <t>Add AMPLIFY 204 later to split headliners L/R independently</t>
        </is>
      </c>
      <c r="P8" s="133" t="inlineStr">
        <is>
          <t>Lowest new route; leaves ~€188 under €3,500 for part of wiring/fusing</t>
        </is>
      </c>
      <c r="Q8" s="133" t="inlineStr">
        <is>
          <t>Headliners not independently tuned at first; not full-active</t>
        </is>
      </c>
      <c r="R8" s="148" t="inlineStr">
        <is>
          <t>BUDGET COMPROMISE</t>
        </is>
      </c>
      <c r="T8" t="inlineStr">
        <is>
          <t>R4</t>
        </is>
      </c>
      <c r="U8" s="132" t="n">
        <v>3311.98</v>
      </c>
      <c r="V8" s="147">
        <f>L8+$W$2</f>
        <v/>
      </c>
      <c r="W8" s="147">
        <f>3500-V8</f>
        <v/>
      </c>
      <c r="X8" s="147">
        <f>4000-V8</f>
        <v/>
      </c>
    </row>
    <row r="9">
      <c r="A9" s="126" t="inlineStr">
        <is>
          <t>R5</t>
        </is>
      </c>
      <c r="B9" s="126" t="inlineStr">
        <is>
          <t>12CH + SECOND DSP NOW/LATER</t>
        </is>
      </c>
      <c r="C9" s="126" t="inlineStr">
        <is>
          <t>HELIX V TWELVE DSP MK2</t>
        </is>
      </c>
      <c r="D9" s="126" t="inlineStr">
        <is>
          <t>HELIX AMPLIFY 206 DSP</t>
        </is>
      </c>
      <c r="E9" s="126" t="n">
        <v>14</v>
      </c>
      <c r="F9" s="126" t="inlineStr">
        <is>
          <t>12 + 6</t>
        </is>
      </c>
      <c r="G9" s="126" t="inlineStr">
        <is>
          <t>Can run 15 physical speakers independently across two DSP/amps</t>
        </is>
      </c>
      <c r="H9" s="126" t="inlineStr">
        <is>
          <t>YES</t>
        </is>
      </c>
      <c r="I9" s="126" t="inlineStr">
        <is>
          <t>V TWELVE stereo RCA reference → 206 DSP; 206 processed RCA → Pioneer</t>
        </is>
      </c>
      <c r="J9" s="127">
        <f>'HELIX_Budget_BOM'!E13</f>
        <v/>
      </c>
      <c r="K9" s="128" t="n">
        <v>2098</v>
      </c>
      <c r="L9" s="144">
        <f>J9+K9</f>
        <v/>
      </c>
      <c r="M9" s="145">
        <f>3500-L9</f>
        <v/>
      </c>
      <c r="N9" s="145">
        <f>4000-L9</f>
        <v/>
      </c>
      <c r="O9" s="126" t="inlineStr">
        <is>
          <t>Buy V TWELVE first; add 206 DSP later when moving to fully separate remaining channels</t>
        </is>
      </c>
      <c r="P9" s="126" t="inlineStr">
        <is>
          <t>15 independent amp feeds possible without replacing V TWELVE; one compact add-on box</t>
        </is>
      </c>
      <c r="Q9" s="126" t="inlineStr">
        <is>
          <t>Two DSPs to calibrate; cascaded latency/preset management; only €89 headroom to €4k before wiring</t>
        </is>
      </c>
      <c r="R9" s="148" t="inlineStr">
        <is>
          <t>STAGED FULL-ACTIVE</t>
        </is>
      </c>
      <c r="T9" t="inlineStr">
        <is>
          <t>R5</t>
        </is>
      </c>
      <c r="U9" s="132" t="n">
        <v>3910.98</v>
      </c>
      <c r="V9" s="147">
        <f>L9+$W$2</f>
        <v/>
      </c>
      <c r="W9" s="147">
        <f>3500-V9</f>
        <v/>
      </c>
      <c r="X9" s="147">
        <f>4000-V9</f>
        <v/>
      </c>
    </row>
    <row r="10">
      <c r="A10" s="126" t="inlineStr">
        <is>
          <t>R6</t>
        </is>
      </c>
      <c r="B10" s="126" t="inlineStr">
        <is>
          <t>12CH + SMALL DSP + AMP LATER</t>
        </is>
      </c>
      <c r="C10" s="126" t="inlineStr">
        <is>
          <t>HELIX V TWELVE DSP MK2</t>
        </is>
      </c>
      <c r="D10" s="126" t="inlineStr">
        <is>
          <t>HELIX DSP MINI MK2 + AMPLIFY 204 DIRECT</t>
        </is>
      </c>
      <c r="E10" s="126" t="n">
        <v>14</v>
      </c>
      <c r="F10" s="126" t="inlineStr">
        <is>
          <t>12 + 4</t>
        </is>
      </c>
      <c r="G10" s="126" t="inlineStr">
        <is>
          <t>Can run 15 physical speakers independently after second-stage expansion</t>
        </is>
      </c>
      <c r="H10" s="126" t="inlineStr">
        <is>
          <t>YES</t>
        </is>
      </c>
      <c r="I10" s="126" t="inlineStr">
        <is>
          <t>V TWELVE stereo RCA → DSP MINI; MINI output → Pioneer</t>
        </is>
      </c>
      <c r="J10" s="127">
        <f>'HELIX_Budget_BOM'!E13</f>
        <v/>
      </c>
      <c r="K10" s="128" t="n">
        <v>2137</v>
      </c>
      <c r="L10" s="144">
        <f>J10+K10</f>
        <v/>
      </c>
      <c r="M10" s="145">
        <f>3500-L10</f>
        <v/>
      </c>
      <c r="N10" s="145">
        <f>4000-L10</f>
        <v/>
      </c>
      <c r="O10" s="126" t="inlineStr">
        <is>
          <t>Explicit small-DSP upgrade path; can defer MINI + 204 until later</t>
        </is>
      </c>
      <c r="P10" s="126" t="inlineStr">
        <is>
          <t>Flexible DSP MINI outputs and reusable 204 amplifier</t>
        </is>
      </c>
      <c r="Q10" s="126" t="inlineStr">
        <is>
          <t>Two extra boxes, more wiring, and €39 MORE than the 206 DSP route</t>
        </is>
      </c>
      <c r="R10" s="151" t="inlineStr">
        <is>
          <t>NOT PREFERRED</t>
        </is>
      </c>
      <c r="T10" t="inlineStr">
        <is>
          <t>R6</t>
        </is>
      </c>
      <c r="U10" s="132" t="n">
        <v>3949.98</v>
      </c>
      <c r="V10" s="147">
        <f>L10+$W$2</f>
        <v/>
      </c>
      <c r="W10" s="147">
        <f>3500-V10</f>
        <v/>
      </c>
      <c r="X10" s="147">
        <f>4000-V10</f>
        <v/>
      </c>
    </row>
    <row r="11">
      <c r="A11" s="133" t="inlineStr">
        <is>
          <t>R7</t>
        </is>
      </c>
      <c r="B11" s="133" t="inlineStr">
        <is>
          <t>USED 12CH + SMALL AMP</t>
        </is>
      </c>
      <c r="C11" s="133" t="inlineStr">
        <is>
          <t>HELIX V TWELVE DSP MK2 USED</t>
        </is>
      </c>
      <c r="D11" s="133" t="inlineStr">
        <is>
          <t>HELIX AMPLIFY 204 DIRECT</t>
        </is>
      </c>
      <c r="E11" s="133" t="n">
        <v>14</v>
      </c>
      <c r="F11" s="133" t="inlineStr">
        <is>
          <t>12 + up to 4</t>
        </is>
      </c>
      <c r="G11" s="133" t="inlineStr">
        <is>
          <t>KEEP Highland kit passive L/R → 13 cabin feeds total</t>
        </is>
      </c>
      <c r="H11" s="133" t="inlineStr">
        <is>
          <t>YES</t>
        </is>
      </c>
      <c r="I11" s="133" t="inlineStr">
        <is>
          <t>One RCA → external feed; one RCA → Pioneer</t>
        </is>
      </c>
      <c r="J11" s="134">
        <f>'HELIX_Budget_BOM'!E13</f>
        <v/>
      </c>
      <c r="K11" s="135" t="n">
        <v>1439</v>
      </c>
      <c r="L11" s="149">
        <f>J11+K11</f>
        <v/>
      </c>
      <c r="M11" s="150">
        <f>3500-L11</f>
        <v/>
      </c>
      <c r="N11" s="150">
        <f>4000-L11</f>
        <v/>
      </c>
      <c r="O11" s="133" t="inlineStr">
        <is>
          <t>Same topology as R3; replace/upgrade only if future full-active desired</t>
        </is>
      </c>
      <c r="P11" s="133" t="inlineStr">
        <is>
          <t>Current German private listing at €1,200 keeps the route near €3.25k known hardware and leaves budget for wiring/damping.</t>
        </is>
      </c>
      <c r="Q11" s="133" t="inlineStr">
        <is>
          <t>Used/private-market warranty risk; current indexed price is €1,200, not the earlier €1,050 scout.</t>
        </is>
      </c>
      <c r="R11" s="146" t="inlineStr">
        <is>
          <t>BEST COST IF USED OK</t>
        </is>
      </c>
      <c r="T11" t="inlineStr">
        <is>
          <t>R7</t>
        </is>
      </c>
      <c r="U11" s="132" t="n">
        <v>3251.98</v>
      </c>
      <c r="V11" s="147">
        <f>L11+$W$2</f>
        <v/>
      </c>
      <c r="W11" s="147">
        <f>3500-V11</f>
        <v/>
      </c>
      <c r="X11" s="147">
        <f>4000-V11</f>
        <v/>
      </c>
    </row>
    <row r="12">
      <c r="A12" s="133" t="inlineStr">
        <is>
          <t>R8</t>
        </is>
      </c>
      <c r="B12" s="133" t="inlineStr">
        <is>
          <t>USED 12CH + SECOND DSP</t>
        </is>
      </c>
      <c r="C12" s="133" t="inlineStr">
        <is>
          <t>HELIX V TWELVE DSP MK2 USED</t>
        </is>
      </c>
      <c r="D12" s="133" t="inlineStr">
        <is>
          <t>HELIX AMPLIFY 206 DSP</t>
        </is>
      </c>
      <c r="E12" s="133" t="n">
        <v>14</v>
      </c>
      <c r="F12" s="133" t="inlineStr">
        <is>
          <t>12 + 6</t>
        </is>
      </c>
      <c r="G12" s="133" t="inlineStr">
        <is>
          <t>15 independent physical cabin feeds across two DSP/amps</t>
        </is>
      </c>
      <c r="H12" s="133" t="inlineStr">
        <is>
          <t>YES</t>
        </is>
      </c>
      <c r="I12" s="133" t="inlineStr">
        <is>
          <t>V TWELVE stereo RCA → 206 DSP → Pioneer from 206 RCA</t>
        </is>
      </c>
      <c r="J12" s="134">
        <f>'HELIX_Budget_BOM'!E13</f>
        <v/>
      </c>
      <c r="K12" s="135" t="n">
        <v>1799</v>
      </c>
      <c r="L12" s="149">
        <f>J12+K12</f>
        <v/>
      </c>
      <c r="M12" s="150">
        <f>3500-L12</f>
        <v/>
      </c>
      <c r="N12" s="150">
        <f>4000-L12</f>
        <v/>
      </c>
      <c r="O12" s="133" t="inlineStr">
        <is>
          <t>Full 15-channel staged system without replacing used V TWELVE</t>
        </is>
      </c>
      <c r="P12" s="133" t="inlineStr">
        <is>
          <t>Current €1,200 used V TWELVE + 206 DSP gives 15 independent cabin feeds for ~€3.61k known hardware.</t>
        </is>
      </c>
      <c r="Q12" s="133" t="inlineStr">
        <is>
          <t>Used V TWELVE + two-DSP calibration complexity</t>
        </is>
      </c>
      <c r="R12" s="148" t="inlineStr">
        <is>
          <t>USED FULL-ACTIVE VALUE</t>
        </is>
      </c>
      <c r="T12" t="inlineStr">
        <is>
          <t>R8</t>
        </is>
      </c>
      <c r="U12" s="132" t="n">
        <v>3611.98</v>
      </c>
      <c r="V12" s="147">
        <f>L12+$W$2</f>
        <v/>
      </c>
      <c r="W12" s="147">
        <f>3500-V12</f>
        <v/>
      </c>
      <c r="X12" s="147">
        <f>4000-V12</f>
        <v/>
      </c>
    </row>
    <row r="13">
      <c r="A13" s="133" t="inlineStr">
        <is>
          <t>R9</t>
        </is>
      </c>
      <c r="B13" s="133" t="inlineStr">
        <is>
          <t>CLEARANCE DSP + SECOND DSP</t>
        </is>
      </c>
      <c r="C13" s="133" t="inlineStr">
        <is>
          <t>HELIX V EIGHT DSP (legacy / new-old-stock)</t>
        </is>
      </c>
      <c r="D13" s="133" t="inlineStr">
        <is>
          <t>HELIX AMPLIFY 206 DSP</t>
        </is>
      </c>
      <c r="E13" s="133" t="inlineStr">
        <is>
          <t>10ch main + 8ch downstream</t>
        </is>
      </c>
      <c r="F13" s="133" t="inlineStr">
        <is>
          <t>8 + 6 available</t>
        </is>
      </c>
      <c r="G13" s="133" t="inlineStr">
        <is>
          <t>KEEP Highland kit passive L/R → 13 cabin feeds total</t>
        </is>
      </c>
      <c r="H13" s="133" t="inlineStr">
        <is>
          <t>YES</t>
        </is>
      </c>
      <c r="I13" s="133" t="inlineStr">
        <is>
          <t>V EIGHT processed stereo RCA → 206 DSP; one 206 RCA → Pioneer donor amp</t>
        </is>
      </c>
      <c r="J13" s="134">
        <f>'HELIX_Budget_BOM'!E13</f>
        <v/>
      </c>
      <c r="K13" s="135" t="n">
        <v>1548</v>
      </c>
      <c r="L13" s="149">
        <f>J13+K13</f>
        <v/>
      </c>
      <c r="M13" s="150">
        <f>3500-L13</f>
        <v/>
      </c>
      <c r="N13" s="150">
        <f>4000-L13</f>
        <v/>
      </c>
      <c r="O13" s="133" t="inlineStr">
        <is>
          <t>Clearance V EIGHT handles 8 cabin feeds; 206 DSP derives the remaining 5 cabin feeds + Pioneer sub from the processed stereo reference</t>
        </is>
      </c>
      <c r="P13" s="133" t="inlineStr">
        <is>
          <t>Lowest verified all-new HELIX route with independent L/R headliners: ~€3.36k known hardware</t>
        </is>
      </c>
      <c r="Q13" s="133" t="inlineStr">
        <is>
          <t>Legacy 10-channel V EIGHT / only 6 high-level inputs; two DSPs; clearance stock can disappear Legacy V EIGHT also needs DIRECTOR for Control Input, not the SCP connector variant.</t>
        </is>
      </c>
      <c r="R13" s="146" t="inlineStr">
        <is>
          <t>BUDGET SLEEPER</t>
        </is>
      </c>
      <c r="T13" t="inlineStr">
        <is>
          <t>R9</t>
        </is>
      </c>
      <c r="U13" s="132" t="n">
        <v>3360.98</v>
      </c>
      <c r="V13" s="147">
        <f>L13+$W$2</f>
        <v/>
      </c>
      <c r="W13" s="147">
        <f>3500-V13</f>
        <v/>
      </c>
      <c r="X13" s="147">
        <f>4000-V13</f>
        <v/>
      </c>
    </row>
    <row r="14">
      <c r="A14" s="133" t="inlineStr">
        <is>
          <t>R10</t>
        </is>
      </c>
      <c r="B14" s="133" t="inlineStr">
        <is>
          <t>CLEARANCE FULL-ACTIVE / MAX COMPLEXITY</t>
        </is>
      </c>
      <c r="C14" s="133" t="inlineStr">
        <is>
          <t>HELIX V EIGHT DSP (legacy / new-old-stock)</t>
        </is>
      </c>
      <c r="D14" s="133" t="inlineStr">
        <is>
          <t>HELIX AMPLIFY 206 DSP + AMPLIFY 204 DIRECT</t>
        </is>
      </c>
      <c r="E14" s="133" t="inlineStr">
        <is>
          <t>10ch main + 8ch downstream</t>
        </is>
      </c>
      <c r="F14" s="133" t="inlineStr">
        <is>
          <t>8 + 6 + 4 available</t>
        </is>
      </c>
      <c r="G14" s="133" t="inlineStr">
        <is>
          <t>15 individually amplified cabin speakers</t>
        </is>
      </c>
      <c r="H14" s="133" t="inlineStr">
        <is>
          <t>YES</t>
        </is>
      </c>
      <c r="I14" s="133" t="inlineStr">
        <is>
          <t>V EIGHT stereo RCA → 206 DSP; 206 RCA1 → 204 DIRECT → 15th cabin feed; RCA2 → Pioneer donor amp</t>
        </is>
      </c>
      <c r="J14" s="134">
        <f>'HELIX_Budget_BOM'!E13</f>
        <v/>
      </c>
      <c r="K14" s="135" t="n">
        <v>1787</v>
      </c>
      <c r="L14" s="149">
        <f>J14+K14</f>
        <v/>
      </c>
      <c r="M14" s="150">
        <f>3500-L14</f>
        <v/>
      </c>
      <c r="N14" s="150">
        <f>4000-L14</f>
        <v/>
      </c>
      <c r="O14" s="133" t="inlineStr">
        <is>
          <t>15 individual cabin feeds + Pioneer sub without V EIGHTEEN, but through two DSPs and three HELIX amp boxes</t>
        </is>
      </c>
      <c r="P14" s="133" t="inlineStr">
        <is>
          <t>Full-active known hardware ~€3.60k</t>
        </is>
      </c>
      <c r="Q14" s="133" t="inlineStr">
        <is>
          <t>Only ~€12 cheaper than V EIGHTEEN route while far more complex; useful as architecture proof, not preferred Legacy V EIGHT also needs DIRECTOR for Control Input, not the SCP connector variant.</t>
        </is>
      </c>
      <c r="R14" s="151" t="inlineStr">
        <is>
          <t>FULL-ACTIVE BUT COMPLEX</t>
        </is>
      </c>
      <c r="T14" t="inlineStr">
        <is>
          <t>R10</t>
        </is>
      </c>
      <c r="U14" s="132" t="n">
        <v>3599.98</v>
      </c>
      <c r="V14" s="147">
        <f>L14+$W$2</f>
        <v/>
      </c>
      <c r="W14" s="147">
        <f>3500-V14</f>
        <v/>
      </c>
      <c r="X14" s="147">
        <f>4000-V14</f>
        <v/>
      </c>
    </row>
    <row r="15">
      <c r="A15" s="99" t="inlineStr">
        <is>
          <t>CURRENT INTERPRETATION</t>
        </is>
      </c>
    </row>
    <row r="16">
      <c r="A16" s="35" t="inlineStr">
        <is>
          <t>Best long-term new</t>
        </is>
      </c>
      <c r="B16" s="15" t="inlineStr">
        <is>
          <t>R1 V EIGHTEEN ≈ €3,632 known hardware including the existing €39.98 adapter reserve. Clean one-box end state; current lead.</t>
        </is>
      </c>
    </row>
    <row r="17">
      <c r="A17" s="35" t="inlineStr">
        <is>
          <t>Best new near €3,500</t>
        </is>
      </c>
      <c r="B17" s="15" t="inlineStr">
        <is>
          <t>R2 NEXT V EIGHT ULTIMATE + AMPLIFY 206 DIRECT ≈ €3,541 known. Slightly cheaper but adds a second cabin amp and caps the central DSP at 14 outputs.</t>
        </is>
      </c>
    </row>
    <row r="18">
      <c r="A18" s="35" t="inlineStr">
        <is>
          <t>Best staged 12-channel</t>
        </is>
      </c>
      <c r="B18" s="15" t="inlineStr">
        <is>
          <t>R3 V TWELVE + AMPLIFY 204 DIRECT ≈ €3,571 known; R4 V TWELVE alone ≈ €3,332. Useful staged route if the V EIGHTEEN cannot be sourced in time.</t>
        </is>
      </c>
    </row>
    <row r="19">
      <c r="A19" s="35" t="inlineStr">
        <is>
          <t>Best used-price route</t>
        </is>
      </c>
      <c r="B19" s="15" t="inlineStr">
        <is>
          <t>R7 used V TWELVE €1,200 + 204 DIRECT ≈ €3,272 known. Used-price route retained; verify serial/invoice/condition.</t>
        </is>
      </c>
    </row>
    <row r="20">
      <c r="A20" s="35" t="inlineStr">
        <is>
          <t>Smaller DSP later</t>
        </is>
      </c>
      <c r="B20" s="15" t="inlineStr">
        <is>
          <t>R5 V TWELVE + AMPLIFY 206 DSP ≈ €3,931 known. Technically expandable, but the V EIGHTEEN is cleaner at similar final spend.</t>
        </is>
      </c>
    </row>
    <row r="21">
      <c r="A21" s="35" t="inlineStr">
        <is>
          <t>Best strict-budget all-new</t>
        </is>
      </c>
      <c r="B21" s="15" t="inlineStr">
        <is>
          <t>R9 legacy V EIGHT + AMPLIFY 206 DSP ≈ €3,381 known. Clearance route only; two-DSP complexity is the trade-off.</t>
        </is>
      </c>
    </row>
    <row r="22">
      <c r="A22" s="35" t="inlineStr">
        <is>
          <t>Full-active comparison</t>
        </is>
      </c>
      <c r="B22" s="15" t="inlineStr">
        <is>
          <t>R10 legacy V EIGHT + 206 DSP + 204 DIRECT ≈ €3,620 known. Saving versus V EIGHTEEN is negligible; do not choose purely for price.</t>
        </is>
      </c>
    </row>
  </sheetData>
  <mergeCells count="10">
    <mergeCell ref="B17:R17"/>
    <mergeCell ref="A15:R15"/>
    <mergeCell ref="B18:R18"/>
    <mergeCell ref="B21:R21"/>
    <mergeCell ref="A2:R2"/>
    <mergeCell ref="B16:R16"/>
    <mergeCell ref="B20:R20"/>
    <mergeCell ref="A1:R1"/>
    <mergeCell ref="B19:R19"/>
    <mergeCell ref="B22:R22"/>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M48"/>
  <sheetViews>
    <sheetView showGridLines="0" workbookViewId="0">
      <pane ySplit="4" topLeftCell="A5" activePane="bottomLeft" state="frozen"/>
      <selection pane="bottomLeft" activeCell="A1" sqref="A1"/>
    </sheetView>
  </sheetViews>
  <sheetFormatPr baseColWidth="8" defaultRowHeight="15"/>
  <cols>
    <col width="8" customWidth="1" min="1" max="1"/>
    <col width="16" customWidth="1" min="2" max="2"/>
    <col width="36" customWidth="1" min="3" max="3"/>
    <col width="29" customWidth="1" min="4" max="4"/>
    <col width="13" customWidth="1" min="5" max="5"/>
    <col width="34" customWidth="1" min="6" max="6"/>
    <col width="24" customWidth="1" min="7" max="7"/>
    <col width="65" customWidth="1" min="8" max="8"/>
    <col width="38" customWidth="1" min="9" max="9"/>
    <col width="18" customWidth="1" min="10" max="10"/>
    <col width="13" customWidth="1" min="11" max="11"/>
    <col width="12" customWidth="1" min="12" max="12"/>
    <col width="45" customWidth="1" min="13" max="13"/>
  </cols>
  <sheetData>
    <row r="1" ht="25" customHeight="1">
      <c r="A1" s="118" t="inlineStr">
        <is>
          <t>HELIX PRICE CHECK — DE / BE / FR</t>
        </is>
      </c>
    </row>
    <row r="2" ht="35" customHeight="1">
      <c r="A2" s="119" t="inlineStr">
        <is>
          <t>Historical rows preserved. Fresh 2026-09-10 rows appended for Germany HELIX, Netherlands BOXMORE and controller comparison.</t>
        </is>
      </c>
    </row>
    <row r="4" ht="34" customHeight="1">
      <c r="A4" s="76" t="inlineStr">
        <is>
          <t>Priority</t>
        </is>
      </c>
      <c r="B4" s="76" t="inlineStr">
        <is>
          <t>Market</t>
        </is>
      </c>
      <c r="C4" s="76" t="inlineStr">
        <is>
          <t>Product</t>
        </is>
      </c>
      <c r="D4" s="76" t="inlineStr">
        <is>
          <t>Seller / channel</t>
        </is>
      </c>
      <c r="E4" s="76" t="inlineStr">
        <is>
          <t>Price €</t>
        </is>
      </c>
      <c r="F4" s="76" t="inlineStr">
        <is>
          <t>Shipping / availability</t>
        </is>
      </c>
      <c r="G4" s="76" t="inlineStr">
        <is>
          <t>Price role</t>
        </is>
      </c>
      <c r="H4" s="76" t="inlineStr">
        <is>
          <t>Source URL</t>
        </is>
      </c>
      <c r="I4" s="76" t="inlineStr">
        <is>
          <t>Current finding</t>
        </is>
      </c>
      <c r="J4" s="76" t="inlineStr">
        <is>
          <t>Use in routes</t>
        </is>
      </c>
      <c r="K4" s="76" t="inlineStr">
        <is>
          <t>Checked</t>
        </is>
      </c>
      <c r="L4" s="76" t="inlineStr">
        <is>
          <t>Confidence</t>
        </is>
      </c>
      <c r="M4" s="76" t="inlineStr">
        <is>
          <t>Notes</t>
        </is>
      </c>
    </row>
    <row r="5">
      <c r="A5" s="120" t="inlineStr">
        <is>
          <t>A</t>
        </is>
      </c>
      <c r="B5" s="120" t="inlineStr">
        <is>
          <t>DE</t>
        </is>
      </c>
      <c r="C5" s="120" t="inlineStr">
        <is>
          <t>HELIX V EIGHTEEN DSP</t>
        </is>
      </c>
      <c r="D5" s="120" t="inlineStr">
        <is>
          <t>Caraudio-store / Bünde / ARS24</t>
        </is>
      </c>
      <c r="E5" s="122" t="n">
        <v>1799</v>
      </c>
      <c r="F5" s="120" t="inlineStr">
        <is>
          <t>Available; multiple DE sellers</t>
        </is>
      </c>
      <c r="G5" s="120" t="inlineStr">
        <is>
          <t>Best verified new DE</t>
        </is>
      </c>
      <c r="H5" s="124" t="inlineStr">
        <is>
          <t>https://www.caraudio-store.de/DSP-Verstaerker</t>
        </is>
      </c>
      <c r="I5" s="120" t="inlineStr">
        <is>
          <t>Same €1,799 across DE and FR-facing listings</t>
        </is>
      </c>
      <c r="J5" s="120" t="inlineStr">
        <is>
          <t>R1</t>
        </is>
      </c>
      <c r="K5" s="120" t="inlineStr">
        <is>
          <t>2026-09-06</t>
        </is>
      </c>
      <c r="L5" s="120" t="inlineStr">
        <is>
          <t>HIGH</t>
        </is>
      </c>
      <c r="M5" s="120" t="inlineStr">
        <is>
          <t>No meaningful DE/FR discount found.</t>
        </is>
      </c>
    </row>
    <row r="6">
      <c r="A6" s="120" t="inlineStr">
        <is>
          <t>B</t>
        </is>
      </c>
      <c r="B6" s="120" t="inlineStr">
        <is>
          <t>BE dealer network</t>
        </is>
      </c>
      <c r="C6" s="120" t="inlineStr">
        <is>
          <t>HELIX V EIGHTEEN DSP</t>
        </is>
      </c>
      <c r="D6" s="120" t="inlineStr">
        <is>
          <t>HifiMotive dealer locator</t>
        </is>
      </c>
      <c r="E6" s="122" t="n">
        <v>1799</v>
      </c>
      <c r="F6" s="120" t="inlineStr">
        <is>
          <t>Belgian specialists via dealer locator</t>
        </is>
      </c>
      <c r="G6" s="120" t="inlineStr">
        <is>
          <t>Recommended retail</t>
        </is>
      </c>
      <c r="H6" s="124" t="inlineStr">
        <is>
          <t>https://www.caraudio.nl/artikel/helix/helix-v-eighteen-dsp-18-kanaals-versterker-met-20-kanaals-dsp-heveighteen</t>
        </is>
      </c>
      <c r="I6" s="120" t="inlineStr">
        <is>
          <t>€1,799 RRP; no lower indexed BE checkout found</t>
        </is>
      </c>
      <c r="J6" s="120" t="inlineStr">
        <is>
          <t>Reference</t>
        </is>
      </c>
      <c r="K6" s="120" t="inlineStr">
        <is>
          <t>2026-09-06</t>
        </is>
      </c>
      <c r="L6" s="120" t="inlineStr">
        <is>
          <t>MEDIUM</t>
        </is>
      </c>
      <c r="M6" s="120" t="inlineStr">
        <is>
          <t>Use dealer quote to try to beat DE price.</t>
        </is>
      </c>
    </row>
    <row r="7">
      <c r="A7" s="120" t="inlineStr">
        <is>
          <t>B</t>
        </is>
      </c>
      <c r="B7" s="120" t="inlineStr">
        <is>
          <t>FR delivery</t>
        </is>
      </c>
      <c r="C7" s="120" t="inlineStr">
        <is>
          <t>HELIX V EIGHTEEN DSP</t>
        </is>
      </c>
      <c r="D7" s="120" t="inlineStr">
        <is>
          <t>ARS24 / French-language Type-RSound storefront</t>
        </is>
      </c>
      <c r="E7" s="122" t="n">
        <v>1799</v>
      </c>
      <c r="F7" s="120" t="inlineStr">
        <is>
          <t>ARS24 states HELIX shipping to France</t>
        </is>
      </c>
      <c r="G7" s="120" t="inlineStr">
        <is>
          <t>FR-deliverable reference</t>
        </is>
      </c>
      <c r="H7" s="124" t="inlineStr">
        <is>
          <t>https://www.ars24.com/en/helix-verstaerker-made-in-germany</t>
        </is>
      </c>
      <c r="I7" s="120" t="inlineStr">
        <is>
          <t>€1,799; no lower indexed FR-local offer found</t>
        </is>
      </c>
      <c r="J7" s="120" t="inlineStr">
        <is>
          <t>Reference</t>
        </is>
      </c>
      <c r="K7" s="120" t="inlineStr">
        <is>
          <t>2026-09-06</t>
        </is>
      </c>
      <c r="L7" s="120" t="inlineStr">
        <is>
          <t>HIGH</t>
        </is>
      </c>
      <c r="M7" s="120" t="inlineStr">
        <is>
          <t>Type-RSound French storefront also shows €1,799.</t>
        </is>
      </c>
    </row>
    <row r="8">
      <c r="A8" s="120" t="inlineStr">
        <is>
          <t>A</t>
        </is>
      </c>
      <c r="B8" s="120" t="inlineStr">
        <is>
          <t>DE</t>
        </is>
      </c>
      <c r="C8" s="120" t="inlineStr">
        <is>
          <t>HELIX NEXT V EIGHT DSP ULTIMATE</t>
        </is>
      </c>
      <c r="D8" s="120" t="inlineStr">
        <is>
          <t>Caraudio-store / Audiomativ</t>
        </is>
      </c>
      <c r="E8" s="122" t="n">
        <v>1349</v>
      </c>
      <c r="F8" s="120" t="inlineStr">
        <is>
          <t>Available; Audiomativ free DE shipping</t>
        </is>
      </c>
      <c r="G8" s="120" t="inlineStr">
        <is>
          <t>Best verified new</t>
        </is>
      </c>
      <c r="H8" s="124" t="inlineStr">
        <is>
          <t>https://www.caraudio-store.de/DSP-Verstaerker</t>
        </is>
      </c>
      <c r="I8" s="120" t="inlineStr">
        <is>
          <t>€1,349</t>
        </is>
      </c>
      <c r="J8" s="120" t="inlineStr">
        <is>
          <t>R2</t>
        </is>
      </c>
      <c r="K8" s="120" t="inlineStr">
        <is>
          <t>2026-09-06</t>
        </is>
      </c>
      <c r="L8" s="120" t="inlineStr">
        <is>
          <t>HIGH</t>
        </is>
      </c>
      <c r="M8" s="120" t="inlineStr">
        <is>
          <t>8 speaker outs + 6 processed RCA / 14 DSP.</t>
        </is>
      </c>
    </row>
    <row r="9">
      <c r="A9" s="120" t="inlineStr">
        <is>
          <t>A</t>
        </is>
      </c>
      <c r="B9" s="120" t="inlineStr">
        <is>
          <t>FR-facing</t>
        </is>
      </c>
      <c r="C9" s="120" t="inlineStr">
        <is>
          <t>HELIX NEXT V EIGHT DSP ULTIMATE</t>
        </is>
      </c>
      <c r="D9" s="120" t="inlineStr">
        <is>
          <t>Type-RSound French storefront</t>
        </is>
      </c>
      <c r="E9" s="122" t="n">
        <v>1349</v>
      </c>
      <c r="F9" s="120" t="inlineStr">
        <is>
          <t>French-language checkout storefront</t>
        </is>
      </c>
      <c r="G9" s="120" t="inlineStr">
        <is>
          <t>FR-facing price</t>
        </is>
      </c>
      <c r="H9" s="124" t="inlineStr">
        <is>
          <t>https://www.type-rsound.com/fr/categories/audio-de-voiture/amplificateur/8-canaux.html</t>
        </is>
      </c>
      <c r="I9" s="120" t="inlineStr">
        <is>
          <t>€1,349</t>
        </is>
      </c>
      <c r="J9" s="120" t="inlineStr">
        <is>
          <t>R2 reference</t>
        </is>
      </c>
      <c r="K9" s="120" t="inlineStr">
        <is>
          <t>2026-09-06</t>
        </is>
      </c>
      <c r="L9" s="120" t="inlineStr">
        <is>
          <t>MEDIUM</t>
        </is>
      </c>
      <c r="M9" s="120" t="inlineStr">
        <is>
          <t>Store is not necessarily France-based; verify delivered VAT/shipping.</t>
        </is>
      </c>
    </row>
    <row r="10">
      <c r="A10" s="120" t="inlineStr">
        <is>
          <t>A</t>
        </is>
      </c>
      <c r="B10" s="120" t="inlineStr">
        <is>
          <t>DE</t>
        </is>
      </c>
      <c r="C10" s="120" t="inlineStr">
        <is>
          <t>HELIX V TWELVE DSP MK2</t>
        </is>
      </c>
      <c r="D10" s="120" t="inlineStr">
        <is>
          <t>Caraudio-store / ARS24 / Bünde</t>
        </is>
      </c>
      <c r="E10" s="122" t="n">
        <v>1499</v>
      </c>
      <c r="F10" s="120" t="inlineStr">
        <is>
          <t>DE available; ARS24 ships to France</t>
        </is>
      </c>
      <c r="G10" s="120" t="inlineStr">
        <is>
          <t>Best verified new</t>
        </is>
      </c>
      <c r="H10" s="124" t="inlineStr">
        <is>
          <t>https://www.caraudio-store.de/Helix-V-TWELVE-DSP-MK2</t>
        </is>
      </c>
      <c r="I10" s="120" t="inlineStr">
        <is>
          <t>€1,499</t>
        </is>
      </c>
      <c r="J10" s="120" t="inlineStr">
        <is>
          <t>R3-R6</t>
        </is>
      </c>
      <c r="K10" s="120" t="inlineStr">
        <is>
          <t>2026-09-06</t>
        </is>
      </c>
      <c r="L10" s="120" t="inlineStr">
        <is>
          <t>HIGH</t>
        </is>
      </c>
      <c r="M10" s="120" t="inlineStr">
        <is>
          <t>12 amp / 14 DSP / 2 RCA outputs.</t>
        </is>
      </c>
    </row>
    <row r="11">
      <c r="A11" s="120" t="inlineStr">
        <is>
          <t>B</t>
        </is>
      </c>
      <c r="B11" s="120" t="inlineStr">
        <is>
          <t>BE dealer network</t>
        </is>
      </c>
      <c r="C11" s="120" t="inlineStr">
        <is>
          <t>HELIX V TWELVE DSP MK2</t>
        </is>
      </c>
      <c r="D11" s="120" t="inlineStr">
        <is>
          <t>HifiMotive / Belgium specialists</t>
        </is>
      </c>
      <c r="E11" s="122" t="n">
        <v>1499</v>
      </c>
      <c r="F11" s="120" t="inlineStr">
        <is>
          <t>Dealer quote required</t>
        </is>
      </c>
      <c r="G11" s="120" t="inlineStr">
        <is>
          <t>Recommended retail</t>
        </is>
      </c>
      <c r="H11" s="124" t="inlineStr">
        <is>
          <t>https://www.caraudio.nl/artikel/helix/helix-v-eighteen-dsp-18-kanaals-versterker-met-20-kanaals-dsp-heveighteen</t>
        </is>
      </c>
      <c r="I11" s="120" t="inlineStr">
        <is>
          <t>V TWELVE accessory/dealer RRP €1,499; no lower BE indexed offer found</t>
        </is>
      </c>
      <c r="J11" s="120" t="inlineStr">
        <is>
          <t>Reference</t>
        </is>
      </c>
      <c r="K11" s="120" t="inlineStr">
        <is>
          <t>2026-09-06</t>
        </is>
      </c>
      <c r="L11" s="120" t="inlineStr">
        <is>
          <t>MEDIUM</t>
        </is>
      </c>
      <c r="M11" s="120" t="inlineStr">
        <is>
          <t>Ask BE dealer for bundle discount rather than list price.</t>
        </is>
      </c>
    </row>
    <row r="12">
      <c r="A12" s="120" t="inlineStr">
        <is>
          <t>A</t>
        </is>
      </c>
      <c r="B12" s="120" t="inlineStr">
        <is>
          <t>FR delivery</t>
        </is>
      </c>
      <c r="C12" s="120" t="inlineStr">
        <is>
          <t>HELIX V TWELVE DSP MK2</t>
        </is>
      </c>
      <c r="D12" s="120" t="inlineStr">
        <is>
          <t>ARS24</t>
        </is>
      </c>
      <c r="E12" s="122" t="n">
        <v>1499</v>
      </c>
      <c r="F12" s="120" t="inlineStr">
        <is>
          <t>Free shipping shown; only DE/AT/FR</t>
        </is>
      </c>
      <c r="G12" s="120" t="inlineStr">
        <is>
          <t>FR-deliverable reference</t>
        </is>
      </c>
      <c r="H12" s="124" t="inlineStr">
        <is>
          <t>https://www.ars24.com/en/helix-v-twelve-dsp-mk2</t>
        </is>
      </c>
      <c r="I12" s="120" t="inlineStr">
        <is>
          <t>€1,499</t>
        </is>
      </c>
      <c r="J12" s="120" t="inlineStr">
        <is>
          <t>R3-R6</t>
        </is>
      </c>
      <c r="K12" s="120" t="inlineStr">
        <is>
          <t>2026-09-06</t>
        </is>
      </c>
      <c r="L12" s="120" t="inlineStr">
        <is>
          <t>HIGH</t>
        </is>
      </c>
      <c r="M12" s="120" t="inlineStr">
        <is>
          <t>Useful for France, not NL/BE.</t>
        </is>
      </c>
    </row>
    <row r="13">
      <c r="A13" s="120" t="inlineStr">
        <is>
          <t>A</t>
        </is>
      </c>
      <c r="B13" s="120" t="inlineStr">
        <is>
          <t>DE</t>
        </is>
      </c>
      <c r="C13" s="120" t="inlineStr">
        <is>
          <t>HELIX AMPLIFY 206 DIRECT</t>
        </is>
      </c>
      <c r="D13" s="120" t="inlineStr">
        <is>
          <t>ARS24</t>
        </is>
      </c>
      <c r="E13" s="122" t="n">
        <v>359</v>
      </c>
      <c r="F13" s="120" t="inlineStr">
        <is>
          <t>DE/AT/FR shipping; listed 2–3 days</t>
        </is>
      </c>
      <c r="G13" s="120" t="inlineStr">
        <is>
          <t>Best verified new</t>
        </is>
      </c>
      <c r="H13" s="124" t="inlineStr">
        <is>
          <t>https://www.ars24.com/en/6-kanal-verstaerker/auto-endstufen</t>
        </is>
      </c>
      <c r="I13" s="120" t="inlineStr">
        <is>
          <t>€359</t>
        </is>
      </c>
      <c r="J13" s="120" t="inlineStr">
        <is>
          <t>R2</t>
        </is>
      </c>
      <c r="K13" s="120" t="inlineStr">
        <is>
          <t>2026-09-06</t>
        </is>
      </c>
      <c r="L13" s="120" t="inlineStr">
        <is>
          <t>HIGH</t>
        </is>
      </c>
      <c r="M13" s="120" t="inlineStr">
        <is>
          <t>6x100W@4Ω / 6x190W@2Ω.</t>
        </is>
      </c>
    </row>
    <row r="14">
      <c r="A14" s="120" t="inlineStr">
        <is>
          <t>A</t>
        </is>
      </c>
      <c r="B14" s="120" t="inlineStr">
        <is>
          <t>DE</t>
        </is>
      </c>
      <c r="C14" s="120" t="inlineStr">
        <is>
          <t>HELIX AMPLIFY 204 DIRECT</t>
        </is>
      </c>
      <c r="D14" s="120" t="inlineStr">
        <is>
          <t>Kaufland marketplace via Idealo</t>
        </is>
      </c>
      <c r="E14" s="122" t="n">
        <v>239</v>
      </c>
      <c r="F14" s="120" t="inlineStr">
        <is>
          <t>Free DE shipping in indexed offer</t>
        </is>
      </c>
      <c r="G14" s="120" t="inlineStr">
        <is>
          <t>Best verified new</t>
        </is>
      </c>
      <c r="H14" s="124" t="inlineStr">
        <is>
          <t>https://www.idealo.de/preisvergleich/Liste/123962287/amp-4000-dab-hifi-stereo-verstaerker.html</t>
        </is>
      </c>
      <c r="I14" s="120" t="inlineStr">
        <is>
          <t>€239</t>
        </is>
      </c>
      <c r="J14" s="120" t="inlineStr">
        <is>
          <t>R3/R6/R7</t>
        </is>
      </c>
      <c r="K14" s="120" t="inlineStr">
        <is>
          <t>2026-09-06</t>
        </is>
      </c>
      <c r="L14" s="120" t="inlineStr">
        <is>
          <t>MEDIUM</t>
        </is>
      </c>
      <c r="M14" s="120" t="inlineStr">
        <is>
          <t>Marketplace listing; verify exact 12V 204 DIRECT, not 24V X-OVER.</t>
        </is>
      </c>
    </row>
    <row r="15">
      <c r="A15" s="120" t="inlineStr">
        <is>
          <t>A</t>
        </is>
      </c>
      <c r="B15" s="120" t="inlineStr">
        <is>
          <t>DE/FR</t>
        </is>
      </c>
      <c r="C15" s="120" t="inlineStr">
        <is>
          <t>HELIX AMPLIFY 206 DSP</t>
        </is>
      </c>
      <c r="D15" s="120" t="inlineStr">
        <is>
          <t>ARS24 / Type-RSound</t>
        </is>
      </c>
      <c r="E15" s="122" t="n">
        <v>599</v>
      </c>
      <c r="F15" s="120" t="inlineStr">
        <is>
          <t>ARS24 DE/AT/FR; Type-RSound lists €599</t>
        </is>
      </c>
      <c r="G15" s="120" t="inlineStr">
        <is>
          <t>Best verified new</t>
        </is>
      </c>
      <c r="H15" s="124" t="inlineStr">
        <is>
          <t>https://www.ars24.com/en/6-kanal-verstaerker/auto-endstufen</t>
        </is>
      </c>
      <c r="I15" s="120" t="inlineStr">
        <is>
          <t>€599</t>
        </is>
      </c>
      <c r="J15" s="120" t="inlineStr">
        <is>
          <t>R5/R8</t>
        </is>
      </c>
      <c r="K15" s="120" t="inlineStr">
        <is>
          <t>2026-09-06</t>
        </is>
      </c>
      <c r="L15" s="120" t="inlineStr">
        <is>
          <t>HIGH</t>
        </is>
      </c>
      <c r="M15" s="120" t="inlineStr">
        <is>
          <t>6 amp + 8 DSP; 2 processed RCA outputs.</t>
        </is>
      </c>
    </row>
    <row r="16">
      <c r="A16" s="120" t="inlineStr">
        <is>
          <t>A</t>
        </is>
      </c>
      <c r="B16" s="120" t="inlineStr">
        <is>
          <t>DE</t>
        </is>
      </c>
      <c r="C16" s="120" t="inlineStr">
        <is>
          <t>HELIX DSP MINI MK2</t>
        </is>
      </c>
      <c r="D16" s="120" t="inlineStr">
        <is>
          <t>Caraudio-store / ARS24</t>
        </is>
      </c>
      <c r="E16" s="122" t="n">
        <v>399</v>
      </c>
      <c r="F16" s="120" t="inlineStr">
        <is>
          <t>Available</t>
        </is>
      </c>
      <c r="G16" s="120" t="inlineStr">
        <is>
          <t>Best verified new</t>
        </is>
      </c>
      <c r="H16" s="124" t="inlineStr">
        <is>
          <t>https://www.caraudio-store.de/Helix_s3</t>
        </is>
      </c>
      <c r="I16" s="120" t="inlineStr">
        <is>
          <t>€399</t>
        </is>
      </c>
      <c r="J16" s="120" t="inlineStr">
        <is>
          <t>R6</t>
        </is>
      </c>
      <c r="K16" s="120" t="inlineStr">
        <is>
          <t>2026-09-06</t>
        </is>
      </c>
      <c r="L16" s="120" t="inlineStr">
        <is>
          <t>HIGH</t>
        </is>
      </c>
      <c r="M16" s="120" t="inlineStr">
        <is>
          <t>Useful later, but MINI + 204 costs more and adds another box versus 206 DSP.</t>
        </is>
      </c>
    </row>
    <row r="17">
      <c r="A17" s="120" t="inlineStr">
        <is>
          <t>A</t>
        </is>
      </c>
      <c r="B17" s="120" t="inlineStr">
        <is>
          <t>DE</t>
        </is>
      </c>
      <c r="C17" s="120" t="inlineStr">
        <is>
          <t>HELIX DIRECTOR for SCP</t>
        </is>
      </c>
      <c r="D17" s="120" t="inlineStr">
        <is>
          <t>Caraudio-store</t>
        </is>
      </c>
      <c r="E17" s="122" t="n">
        <v>249</v>
      </c>
      <c r="F17" s="120" t="inlineStr">
        <is>
          <t>Available 1–2 days; foreign delivery varies</t>
        </is>
      </c>
      <c r="G17" s="120" t="inlineStr">
        <is>
          <t>Best verified controller</t>
        </is>
      </c>
      <c r="H17" s="124" t="inlineStr">
        <is>
          <t>https://www.caraudio-store.de/Helix-DIRECTOR-for-SCP</t>
        </is>
      </c>
      <c r="I17" s="120" t="inlineStr">
        <is>
          <t>€249</t>
        </is>
      </c>
      <c r="J17" s="120" t="inlineStr">
        <is>
          <t>All main routes</t>
        </is>
      </c>
      <c r="K17" s="120" t="inlineStr">
        <is>
          <t>2026-09-06</t>
        </is>
      </c>
      <c r="L17" s="120" t="inlineStr">
        <is>
          <t>HIGH</t>
        </is>
      </c>
      <c r="M17" s="120" t="inlineStr">
        <is>
          <t>€249 display remote. Select SCP variant for current V EIGHTEEN/V TWELVE MK2/NEXT V EIGHT; Control Input variant for legacy V EIGHT MK1/MK2.</t>
        </is>
      </c>
    </row>
    <row r="18">
      <c r="A18" s="120" t="inlineStr">
        <is>
          <t>B</t>
        </is>
      </c>
      <c r="B18" s="120" t="inlineStr">
        <is>
          <t>BE dealer network</t>
        </is>
      </c>
      <c r="C18" s="120" t="inlineStr">
        <is>
          <t>HELIX DIRECTOR for SCP</t>
        </is>
      </c>
      <c r="D18" s="120" t="inlineStr">
        <is>
          <t>HifiMotive Belgium dealer locator</t>
        </is>
      </c>
      <c r="E18" s="122" t="n">
        <v>299</v>
      </c>
      <c r="F18" s="120" t="inlineStr">
        <is>
          <t>Dealer quote required</t>
        </is>
      </c>
      <c r="G18" s="120" t="inlineStr">
        <is>
          <t>RRP</t>
        </is>
      </c>
      <c r="H18" s="124" t="inlineStr">
        <is>
          <t>https://www.caraudio.nl/artikel/helix/helix-v-eighteen-dsp-18-kanaals-versterker-met-20-kanaals-dsp-heveighteen</t>
        </is>
      </c>
      <c r="I18" s="120" t="inlineStr">
        <is>
          <t>€299 RRP</t>
        </is>
      </c>
      <c r="J18" s="120" t="inlineStr">
        <is>
          <t>Reference</t>
        </is>
      </c>
      <c r="K18" s="120" t="inlineStr">
        <is>
          <t>2026-09-06</t>
        </is>
      </c>
      <c r="L18" s="120" t="inlineStr">
        <is>
          <t>HIGH</t>
        </is>
      </c>
      <c r="M18" s="120" t="inlineStr">
        <is>
          <t>DE is €50 cheaper before shipping.</t>
        </is>
      </c>
    </row>
    <row r="19">
      <c r="A19" s="120" t="inlineStr">
        <is>
          <t>A</t>
        </is>
      </c>
      <c r="B19" s="120" t="inlineStr">
        <is>
          <t>DE</t>
        </is>
      </c>
      <c r="C19" s="120" t="inlineStr">
        <is>
          <t>Compose Ci3 K200.2TES4 Model 3 Highland</t>
        </is>
      </c>
      <c r="D19" s="120" t="inlineStr">
        <is>
          <t>CarHifi-Store Bünde</t>
        </is>
      </c>
      <c r="E19" s="122" t="n">
        <v>729</v>
      </c>
      <c r="F19" s="120" t="inlineStr">
        <is>
          <t>Indexed in stock</t>
        </is>
      </c>
      <c r="G19" s="120" t="inlineStr">
        <is>
          <t>Highland-specific budget anchor</t>
        </is>
      </c>
      <c r="H19" s="124" t="inlineStr">
        <is>
          <t>https://www.carhifi-store-buende.de/compose-ci3-k200.2tes4-tesla-model-3-highland</t>
        </is>
      </c>
      <c r="I19" s="120" t="inlineStr">
        <is>
          <t>€729</t>
        </is>
      </c>
      <c r="J19" s="120" t="inlineStr">
        <is>
          <t>All budget routes</t>
        </is>
      </c>
      <c r="K19" s="120" t="inlineStr">
        <is>
          <t>2026-09-06</t>
        </is>
      </c>
      <c r="L19" s="120" t="inlineStr">
        <is>
          <t>HIGH</t>
        </is>
      </c>
      <c r="M19" s="120" t="inlineStr">
        <is>
          <t>7 physical speakers + adapters/connectors; passive L/R mid+tweeter.</t>
        </is>
      </c>
    </row>
    <row r="20">
      <c r="A20" s="120" t="inlineStr">
        <is>
          <t>A</t>
        </is>
      </c>
      <c r="B20" s="120" t="inlineStr">
        <is>
          <t>DE / FR-facing</t>
        </is>
      </c>
      <c r="C20" s="120" t="inlineStr">
        <is>
          <t>HELIX Ci3 M100FM-S3</t>
        </is>
      </c>
      <c r="D20" s="120" t="inlineStr">
        <is>
          <t>HFB / Type-RSound</t>
        </is>
      </c>
      <c r="E20" s="122" t="n">
        <v>149</v>
      </c>
      <c r="F20" s="120" t="inlineStr">
        <is>
          <t>DE stock; Type-RSound also €149</t>
        </is>
      </c>
      <c r="G20" s="120" t="inlineStr">
        <is>
          <t>Current pair price</t>
        </is>
      </c>
      <c r="H20" s="124" t="inlineStr">
        <is>
          <t>https://www.type-rsound.com/en/helix-ci3-m100fm-s3.html</t>
        </is>
      </c>
      <c r="I20" s="120" t="inlineStr">
        <is>
          <t>€149/pair</t>
        </is>
      </c>
      <c r="J20" s="120" t="inlineStr">
        <is>
          <t>All budget routes</t>
        </is>
      </c>
      <c r="K20" s="120" t="inlineStr">
        <is>
          <t>2026-09-06</t>
        </is>
      </c>
      <c r="L20" s="120" t="inlineStr">
        <is>
          <t>HIGH</t>
        </is>
      </c>
      <c r="M20" s="120" t="inlineStr">
        <is>
          <t>Two pairs for rear doors + parcel.</t>
        </is>
      </c>
    </row>
    <row r="21">
      <c r="A21" s="120" t="inlineStr">
        <is>
          <t>A</t>
        </is>
      </c>
      <c r="B21" s="120" t="inlineStr">
        <is>
          <t>DE / FR delivery</t>
        </is>
      </c>
      <c r="C21" s="120" t="inlineStr">
        <is>
          <t>HELIX Ci5 M80FM-S3</t>
        </is>
      </c>
      <c r="D21" s="120" t="inlineStr">
        <is>
          <t>ARS24</t>
        </is>
      </c>
      <c r="E21" s="122" t="n">
        <v>199</v>
      </c>
      <c r="F21" s="120" t="inlineStr">
        <is>
          <t>DE/AT/FR</t>
        </is>
      </c>
      <c r="G21" s="120" t="inlineStr">
        <is>
          <t>Current pair price</t>
        </is>
      </c>
      <c r="H21" s="124" t="inlineStr">
        <is>
          <t>https://www.ars24.com/en/helix-ci5-m80fm-s3</t>
        </is>
      </c>
      <c r="I21" s="120" t="inlineStr">
        <is>
          <t>€199/pair</t>
        </is>
      </c>
      <c r="J21" s="120" t="inlineStr">
        <is>
          <t>All budget routes</t>
        </is>
      </c>
      <c r="K21" s="120" t="inlineStr">
        <is>
          <t>2026-09-06</t>
        </is>
      </c>
      <c r="L21" s="120" t="inlineStr">
        <is>
          <t>HIGH</t>
        </is>
      </c>
      <c r="M21" s="120" t="inlineStr">
        <is>
          <t>Front added 80 mm pair.</t>
        </is>
      </c>
    </row>
    <row r="22">
      <c r="A22" s="120" t="inlineStr">
        <is>
          <t>A</t>
        </is>
      </c>
      <c r="B22" s="120" t="inlineStr">
        <is>
          <t>DE / FR delivery</t>
        </is>
      </c>
      <c r="C22" s="120" t="inlineStr">
        <is>
          <t>HELIX Ci5 M50FM-S3</t>
        </is>
      </c>
      <c r="D22" s="120" t="inlineStr">
        <is>
          <t>ARS24</t>
        </is>
      </c>
      <c r="E22" s="122" t="n">
        <v>169</v>
      </c>
      <c r="F22" s="120" t="inlineStr">
        <is>
          <t>DE/AT/FR</t>
        </is>
      </c>
      <c r="G22" s="120" t="inlineStr">
        <is>
          <t>Current pair price</t>
        </is>
      </c>
      <c r="H22" s="124" t="inlineStr">
        <is>
          <t>https://www.ars24.com/en/mitteltoener</t>
        </is>
      </c>
      <c r="I22" s="120" t="inlineStr">
        <is>
          <t>€169/pair</t>
        </is>
      </c>
      <c r="J22" s="120" t="inlineStr">
        <is>
          <t>All budget routes</t>
        </is>
      </c>
      <c r="K22" s="120" t="inlineStr">
        <is>
          <t>2026-09-06</t>
        </is>
      </c>
      <c r="L22" s="120" t="inlineStr">
        <is>
          <t>HIGH</t>
        </is>
      </c>
      <c r="M22" s="120" t="inlineStr">
        <is>
          <t>Headliner pair.</t>
        </is>
      </c>
    </row>
    <row r="23">
      <c r="A23" s="120" t="inlineStr">
        <is>
          <t>A</t>
        </is>
      </c>
      <c r="B23" s="120" t="inlineStr">
        <is>
          <t>DE</t>
        </is>
      </c>
      <c r="C23" s="120" t="inlineStr">
        <is>
          <t>MATCH PP-TES 1.7B Highland</t>
        </is>
      </c>
      <c r="D23" s="120" t="inlineStr">
        <is>
          <t>CarHifi-Store Bünde</t>
        </is>
      </c>
      <c r="E23" s="122" t="n">
        <v>129</v>
      </c>
      <c r="F23" s="120" t="inlineStr">
        <is>
          <t>Indexed immediately available</t>
        </is>
      </c>
      <c r="G23" s="120" t="inlineStr">
        <is>
          <t>Harness reference</t>
        </is>
      </c>
      <c r="H23" s="124" t="inlineStr">
        <is>
          <t>https://www.carhifi-store-buende.de/match-pp-tes-1.7b-highland</t>
        </is>
      </c>
      <c r="I23" s="120" t="inlineStr">
        <is>
          <t>€129</t>
        </is>
      </c>
      <c r="J23" s="120" t="inlineStr">
        <is>
          <t>All routes</t>
        </is>
      </c>
      <c r="K23" s="120" t="inlineStr">
        <is>
          <t>2026-09-06</t>
        </is>
      </c>
      <c r="L23" s="120" t="inlineStr">
        <is>
          <t>HIGH</t>
        </is>
      </c>
      <c r="M23" s="120" t="inlineStr">
        <is>
          <t>Donor/interposer only when used outside MATCH UP10.</t>
        </is>
      </c>
    </row>
    <row r="24">
      <c r="A24" s="139" t="inlineStr">
        <is>
          <t>S</t>
        </is>
      </c>
      <c r="B24" s="139" t="inlineStr">
        <is>
          <t>DE USED</t>
        </is>
      </c>
      <c r="C24" s="139" t="inlineStr">
        <is>
          <t>HELIX V TWELVE DSP MK2</t>
        </is>
      </c>
      <c r="D24" s="139" t="inlineStr">
        <is>
          <t>Kleinanzeigen private listing</t>
        </is>
      </c>
      <c r="E24" s="140" t="n">
        <v>1200</v>
      </c>
      <c r="F24" s="139" t="inlineStr">
        <is>
          <t>Current search result today; shipping offered</t>
        </is>
      </c>
      <c r="G24" s="139" t="inlineStr">
        <is>
          <t>Transient used scout</t>
        </is>
      </c>
      <c r="H24" s="141" t="inlineStr">
        <is>
          <t>https://www.kleinanzeigen.de/s-helix-dsp-mk2/k0</t>
        </is>
      </c>
      <c r="I24" s="139" t="inlineStr">
        <is>
          <t>€1,200 VB / €1,250 currently indexed; earlier €1,050 scout not found in current search</t>
        </is>
      </c>
      <c r="J24" s="139" t="inlineStr">
        <is>
          <t>R7/R8</t>
        </is>
      </c>
      <c r="K24" s="139" t="inlineStr">
        <is>
          <t>2026-09-06</t>
        </is>
      </c>
      <c r="L24" s="139" t="inlineStr">
        <is>
          <t>MEDIUM</t>
        </is>
      </c>
      <c r="M24" s="139" t="inlineStr">
        <is>
          <t>Private sale. Inspect invoice, serial, connectors and function. Search result dated 2026-09-06.</t>
        </is>
      </c>
    </row>
    <row r="25">
      <c r="A25" s="120" t="inlineStr">
        <is>
          <t>A</t>
        </is>
      </c>
      <c r="B25" s="120" t="inlineStr">
        <is>
          <t>DE → BE/FR/NL</t>
        </is>
      </c>
      <c r="C25" s="120" t="inlineStr">
        <is>
          <t>Caraudio-store foreign parcel shipping</t>
        </is>
      </c>
      <c r="D25" s="120" t="inlineStr">
        <is>
          <t>Caraudio-store</t>
        </is>
      </c>
      <c r="E25" s="122" t="n">
        <v>15.9</v>
      </c>
      <c r="F25" s="120" t="inlineStr">
        <is>
          <t>Standard Zone 1 parcel to BE/FR/NL</t>
        </is>
      </c>
      <c r="G25" s="120" t="inlineStr">
        <is>
          <t>Known shipping reference</t>
        </is>
      </c>
      <c r="H25" s="124" t="inlineStr">
        <is>
          <t>https://www.caraudio-store.de/Zahlung-und-Versand</t>
        </is>
      </c>
      <c r="I25" s="120" t="inlineStr">
        <is>
          <t>€15.90 per standard foreign order</t>
        </is>
      </c>
      <c r="J25" s="120" t="inlineStr">
        <is>
          <t>Planning reference</t>
        </is>
      </c>
      <c r="K25" s="120" t="inlineStr">
        <is>
          <t>2026-09-06</t>
        </is>
      </c>
      <c r="L25" s="120" t="inlineStr">
        <is>
          <t>HIGH</t>
        </is>
      </c>
      <c r="M25" s="120" t="inlineStr">
        <is>
          <t>Large/XL items may differ.</t>
        </is>
      </c>
    </row>
    <row r="26">
      <c r="A26" s="120" t="inlineStr">
        <is>
          <t>A</t>
        </is>
      </c>
      <c r="B26" s="120" t="inlineStr">
        <is>
          <t>DE / FR delivery</t>
        </is>
      </c>
      <c r="C26" s="120" t="inlineStr">
        <is>
          <t>HELIX V EIGHT DSP (legacy 10ch DSP)</t>
        </is>
      </c>
      <c r="D26" s="120" t="inlineStr">
        <is>
          <t>ARS24 clearance / new-old-stock</t>
        </is>
      </c>
      <c r="E26" s="152" t="n">
        <v>949</v>
      </c>
      <c r="F26" s="120" t="inlineStr">
        <is>
          <t>ARS24 page indexed; shipping terms on HELIX items limited to DE/AT/FR</t>
        </is>
      </c>
      <c r="G26" s="120" t="inlineStr">
        <is>
          <t>Best verified new-old-stock clearance</t>
        </is>
      </c>
      <c r="H26" s="124" t="inlineStr">
        <is>
          <t>https://www.ars24.com/en/helix-v-eight-dsp</t>
        </is>
      </c>
      <c r="I26" s="120" t="inlineStr">
        <is>
          <t>€949; 8 amp + 10 DSP, 2 processed RCA</t>
        </is>
      </c>
      <c r="J26" s="120" t="inlineStr">
        <is>
          <t>R9/R10</t>
        </is>
      </c>
      <c r="K26" s="120" t="inlineStr">
        <is>
          <t>2026-09-06</t>
        </is>
      </c>
      <c r="L26" s="120" t="inlineStr">
        <is>
          <t>HIGH</t>
        </is>
      </c>
      <c r="M26" s="120" t="inlineStr">
        <is>
          <t>Discontinued/legacy architecture; only 6 high-level inputs. Confirm stock before building around it.</t>
        </is>
      </c>
    </row>
    <row r="27">
      <c r="A27" s="120" t="inlineStr">
        <is>
          <t>B</t>
        </is>
      </c>
      <c r="B27" s="120" t="inlineStr">
        <is>
          <t>BE / NL dealer network</t>
        </is>
      </c>
      <c r="C27" s="120" t="inlineStr">
        <is>
          <t>HELIX AMPLIFY 204 DIRECT</t>
        </is>
      </c>
      <c r="D27" s="120" t="inlineStr">
        <is>
          <t>HifiMotive dealer network</t>
        </is>
      </c>
      <c r="E27" s="152" t="n">
        <v>239</v>
      </c>
      <c r="F27" s="120" t="inlineStr">
        <is>
          <t>Belgian/NL specialist quote / stock dependent</t>
        </is>
      </c>
      <c r="G27" s="120" t="inlineStr">
        <is>
          <t>Official RRP</t>
        </is>
      </c>
      <c r="H27" s="124" t="inlineStr">
        <is>
          <t>https://www.caraudio.nl/artikel/helix/helix-amplify-204-direct-4-kanaals-versterker-met-directe-dsp-ingang-heamp204direct</t>
        </is>
      </c>
      <c r="I27" s="120" t="inlineStr">
        <is>
          <t>€239 RRP</t>
        </is>
      </c>
      <c r="J27" s="120" t="inlineStr">
        <is>
          <t>R3/R6/R7/R10</t>
        </is>
      </c>
      <c r="K27" s="120" t="inlineStr">
        <is>
          <t>2026-09-06</t>
        </is>
      </c>
      <c r="L27" s="120" t="inlineStr">
        <is>
          <t>HIGH</t>
        </is>
      </c>
      <c r="M27" s="120" t="inlineStr">
        <is>
          <t>4x100W@4Ω / 4x190W@2Ω; useful as inexpensive later extension.</t>
        </is>
      </c>
    </row>
    <row r="28">
      <c r="A28" s="120" t="inlineStr">
        <is>
          <t>A</t>
        </is>
      </c>
      <c r="B28" s="120" t="inlineStr">
        <is>
          <t>DE → BE/FR/NL</t>
        </is>
      </c>
      <c r="C28" s="120" t="inlineStr">
        <is>
          <t>Caraudio-store standard foreign parcel</t>
        </is>
      </c>
      <c r="D28" s="120" t="inlineStr">
        <is>
          <t>Caraudio-store</t>
        </is>
      </c>
      <c r="E28" s="152" t="n">
        <v>15.9</v>
      </c>
      <c r="F28" s="120" t="inlineStr">
        <is>
          <t>Zone 1 parcel: Belgium, France, Netherlands</t>
        </is>
      </c>
      <c r="G28" s="120" t="inlineStr">
        <is>
          <t>Shipping reference</t>
        </is>
      </c>
      <c r="H28" s="124" t="inlineStr">
        <is>
          <t>https://www.caraudio-store.de/Zahlung-und-Versand</t>
        </is>
      </c>
      <c r="I28" s="120" t="inlineStr">
        <is>
          <t>€15.90 standard foreign parcel order</t>
        </is>
      </c>
      <c r="J28" s="120" t="inlineStr">
        <is>
          <t>Planning</t>
        </is>
      </c>
      <c r="K28" s="120" t="inlineStr">
        <is>
          <t>2026-09-06</t>
        </is>
      </c>
      <c r="L28" s="120" t="inlineStr">
        <is>
          <t>HIGH</t>
        </is>
      </c>
      <c r="M28" s="120" t="inlineStr">
        <is>
          <t>Some HELIX products may have territorial restrictions; checkout availability must be verified per item.</t>
        </is>
      </c>
    </row>
    <row r="29">
      <c r="A29" s="120" t="inlineStr">
        <is>
          <t>A</t>
        </is>
      </c>
      <c r="B29" s="120" t="inlineStr">
        <is>
          <t>DE</t>
        </is>
      </c>
      <c r="C29" s="120" t="inlineStr">
        <is>
          <t>HELIX V EIGHTEEN DSP</t>
        </is>
      </c>
      <c r="D29" s="120" t="inlineStr">
        <is>
          <t>CarHifi-Store Bünde</t>
        </is>
      </c>
      <c r="E29" s="122" t="n">
        <v>1799</v>
      </c>
      <c r="F29" s="120" t="inlineStr">
        <is>
          <t>Verfügbar in 4 Tagen</t>
        </is>
      </c>
      <c r="G29" s="120" t="inlineStr">
        <is>
          <t>Current lead DSP</t>
        </is>
      </c>
      <c r="H29" s="120" t="inlineStr">
        <is>
          <t>https://www.carhifi-store-buende.de/endstufen/</t>
        </is>
      </c>
      <c r="I29" s="120" t="inlineStr">
        <is>
          <t>18 amplified / 20 DSP; 2 processed RCA outputs</t>
        </is>
      </c>
      <c r="J29" s="120" t="inlineStr">
        <is>
          <t>R1</t>
        </is>
      </c>
      <c r="K29" s="120" t="inlineStr">
        <is>
          <t>2026-09-10</t>
        </is>
      </c>
      <c r="L29" s="120" t="inlineStr">
        <is>
          <t>HIGH</t>
        </is>
      </c>
      <c r="M29" s="120" t="inlineStr">
        <is>
          <t>Current product listing; pickup date should be confirmed.</t>
        </is>
      </c>
    </row>
    <row r="30">
      <c r="A30" s="120" t="inlineStr">
        <is>
          <t>A</t>
        </is>
      </c>
      <c r="B30" s="120" t="inlineStr">
        <is>
          <t>DE</t>
        </is>
      </c>
      <c r="C30" s="120" t="inlineStr">
        <is>
          <t>HELIX Compose Ci3 K200.2TES4 Highland</t>
        </is>
      </c>
      <c r="D30" s="120" t="inlineStr">
        <is>
          <t>CarHifi-Store Bünde</t>
        </is>
      </c>
      <c r="E30" s="122" t="n">
        <v>729</v>
      </c>
      <c r="F30" s="120" t="inlineStr">
        <is>
          <t>Sofort verfügbar</t>
        </is>
      </c>
      <c r="G30" s="120" t="inlineStr">
        <is>
          <t>Highland-specific 7-speaker front+center foundation</t>
        </is>
      </c>
      <c r="H30" s="120" t="inlineStr">
        <is>
          <t>https://www.carhifi-store-buende.de/lautsprecher/nach-fahrzeug/tesla/model-3-highland/</t>
        </is>
      </c>
      <c r="I30" s="120" t="inlineStr">
        <is>
          <t>Highland-specific package</t>
        </is>
      </c>
      <c r="J30" s="120" t="inlineStr">
        <is>
          <t>Common/Core9</t>
        </is>
      </c>
      <c r="K30" s="120" t="inlineStr">
        <is>
          <t>2026-09-10</t>
        </is>
      </c>
      <c r="L30" s="120" t="inlineStr">
        <is>
          <t>HIGH</t>
        </is>
      </c>
      <c r="M30" s="120" t="inlineStr">
        <is>
          <t>Preferred genuine HELIX value foundation.</t>
        </is>
      </c>
    </row>
    <row r="31">
      <c r="A31" s="120" t="inlineStr">
        <is>
          <t>A</t>
        </is>
      </c>
      <c r="B31" s="120" t="inlineStr">
        <is>
          <t>DE</t>
        </is>
      </c>
      <c r="C31" s="120" t="inlineStr">
        <is>
          <t>HELIX Ci5 M80FM-S3</t>
        </is>
      </c>
      <c r="D31" s="120" t="inlineStr">
        <is>
          <t>CarHifi-Store Bünde</t>
        </is>
      </c>
      <c r="E31" s="122" t="n">
        <v>199</v>
      </c>
      <c r="F31" s="120" t="inlineStr">
        <is>
          <t>Sofort verfügbar</t>
        </is>
      </c>
      <c r="G31" s="120" t="inlineStr">
        <is>
          <t>Effect/immersion pair</t>
        </is>
      </c>
      <c r="H31" s="120" t="inlineStr">
        <is>
          <t>https://www.carhifi-store-buende.de/helix-ci5-m80fm-s3</t>
        </is>
      </c>
      <c r="I31" s="120" t="inlineStr">
        <is>
          <t>80 mm pair</t>
        </is>
      </c>
      <c r="J31" s="120" t="inlineStr">
        <is>
          <t>Full15 later</t>
        </is>
      </c>
      <c r="K31" s="120" t="inlineStr">
        <is>
          <t>2026-09-10</t>
        </is>
      </c>
      <c r="L31" s="120" t="inlineStr">
        <is>
          <t>HIGH</t>
        </is>
      </c>
      <c r="M31" s="120" t="inlineStr">
        <is>
          <t>Same price as BOXMORE BXA M80 RRP.</t>
        </is>
      </c>
    </row>
    <row r="32">
      <c r="A32" s="120" t="inlineStr">
        <is>
          <t>A</t>
        </is>
      </c>
      <c r="B32" s="120" t="inlineStr">
        <is>
          <t>DE</t>
        </is>
      </c>
      <c r="C32" s="120" t="inlineStr">
        <is>
          <t>HELIX Ci3 M100FM-S3</t>
        </is>
      </c>
      <c r="D32" s="120" t="inlineStr">
        <is>
          <t>CarHifi-Store Bünde</t>
        </is>
      </c>
      <c r="E32" s="122" t="n">
        <v>159</v>
      </c>
      <c r="F32" s="120" t="inlineStr">
        <is>
          <t>Sofort verfügbar</t>
        </is>
      </c>
      <c r="G32" s="120" t="inlineStr">
        <is>
          <t>Rear/parcel 100 mm pair</t>
        </is>
      </c>
      <c r="H32" s="120" t="inlineStr">
        <is>
          <t>https://www.carhifi-store-buende.de/helix-ci3-m100fm-s3</t>
        </is>
      </c>
      <c r="I32" s="120" t="inlineStr">
        <is>
          <t>100 mm pair</t>
        </is>
      </c>
      <c r="J32" s="120" t="inlineStr">
        <is>
          <t>Common/Core9/Full15</t>
        </is>
      </c>
      <c r="K32" s="120" t="inlineStr">
        <is>
          <t>2026-09-10</t>
        </is>
      </c>
      <c r="L32" s="120" t="inlineStr">
        <is>
          <t>HIGH</t>
        </is>
      </c>
      <c r="M32" s="120" t="inlineStr">
        <is>
          <t>Current Bünde price now €159/pair.</t>
        </is>
      </c>
    </row>
    <row r="33">
      <c r="A33" s="120" t="inlineStr">
        <is>
          <t>A</t>
        </is>
      </c>
      <c r="B33" s="120" t="inlineStr">
        <is>
          <t>DE</t>
        </is>
      </c>
      <c r="C33" s="120" t="inlineStr">
        <is>
          <t>HELIX Ci5 M50FM-S3</t>
        </is>
      </c>
      <c r="D33" s="120" t="inlineStr">
        <is>
          <t>CarHifi-Store Bünde</t>
        </is>
      </c>
      <c r="E33" s="122" t="n">
        <v>169</v>
      </c>
      <c r="F33" s="120" t="inlineStr">
        <is>
          <t>Sofort verfügbar</t>
        </is>
      </c>
      <c r="G33" s="120" t="inlineStr">
        <is>
          <t>Headliner pair</t>
        </is>
      </c>
      <c r="H33" s="120" t="inlineStr">
        <is>
          <t>https://www.carhifi-store-buende.de/helix-ci5-m50fm-s3</t>
        </is>
      </c>
      <c r="I33" s="120" t="inlineStr">
        <is>
          <t>50 mm pair</t>
        </is>
      </c>
      <c r="J33" s="120" t="inlineStr">
        <is>
          <t>Full15 later</t>
        </is>
      </c>
      <c r="K33" s="120" t="inlineStr">
        <is>
          <t>2026-09-10</t>
        </is>
      </c>
      <c r="L33" s="120" t="inlineStr">
        <is>
          <t>HIGH</t>
        </is>
      </c>
      <c r="M33" s="120" t="inlineStr">
        <is>
          <t>Only €20 above BOXMORE BXA M50 RRP.</t>
        </is>
      </c>
    </row>
    <row r="34">
      <c r="A34" s="120" t="inlineStr">
        <is>
          <t>A</t>
        </is>
      </c>
      <c r="B34" s="120" t="inlineStr">
        <is>
          <t>DE</t>
        </is>
      </c>
      <c r="C34" s="120" t="inlineStr">
        <is>
          <t>MATCH PP-TES 1.7B Highland</t>
        </is>
      </c>
      <c r="D34" s="120" t="inlineStr">
        <is>
          <t>CarHifi-Store Bünde</t>
        </is>
      </c>
      <c r="E34" s="122" t="n">
        <v>129</v>
      </c>
      <c r="F34" s="120" t="inlineStr">
        <is>
          <t>Sofort verfügbar</t>
        </is>
      </c>
      <c r="G34" s="120" t="inlineStr">
        <is>
          <t>Tesla-side donor/interposer</t>
        </is>
      </c>
      <c r="H34" s="120" t="inlineStr">
        <is>
          <t>https://www.carhifi-store-buende.de/match-pp-tes-1.7b-highland</t>
        </is>
      </c>
      <c r="I34" s="120" t="inlineStr">
        <is>
          <t>Official UP10 harness; custom V EIGHTEEN adaptation required</t>
        </is>
      </c>
      <c r="J34" s="120" t="inlineStr">
        <is>
          <t>Common</t>
        </is>
      </c>
      <c r="K34" s="120" t="inlineStr">
        <is>
          <t>2026-09-10</t>
        </is>
      </c>
      <c r="L34" s="120" t="inlineStr">
        <is>
          <t>HIGH</t>
        </is>
      </c>
      <c r="M34" s="120" t="inlineStr">
        <is>
          <t>Do not claim direct V EIGHTEEN PnP.</t>
        </is>
      </c>
    </row>
    <row r="35">
      <c r="A35" s="120" t="inlineStr">
        <is>
          <t>A</t>
        </is>
      </c>
      <c r="B35" s="120" t="inlineStr">
        <is>
          <t>DE/FR</t>
        </is>
      </c>
      <c r="C35" s="120" t="inlineStr">
        <is>
          <t>HELIX DIRECTOR for SCP</t>
        </is>
      </c>
      <c r="D35" s="120" t="inlineStr">
        <is>
          <t>ARS24</t>
        </is>
      </c>
      <c r="E35" s="122" t="n">
        <v>249</v>
      </c>
      <c r="F35" s="120" t="inlineStr">
        <is>
          <t>2–3 days; ships DE/AT/FR only</t>
        </is>
      </c>
      <c r="G35" s="120" t="inlineStr">
        <is>
          <t>Lowest current controller reference</t>
        </is>
      </c>
      <c r="H35" s="120" t="inlineStr">
        <is>
          <t>https://www.ars24.com/en/helix-director-for-scp</t>
        </is>
      </c>
      <c r="I35" s="120" t="inlineStr">
        <is>
          <t>SCP controller</t>
        </is>
      </c>
      <c r="J35" s="120" t="inlineStr">
        <is>
          <t>Common</t>
        </is>
      </c>
      <c r="K35" s="120" t="inlineStr">
        <is>
          <t>2026-09-10</t>
        </is>
      </c>
      <c r="L35" s="120" t="inlineStr">
        <is>
          <t>HIGH</t>
        </is>
      </c>
      <c r="M35" s="120" t="inlineStr">
        <is>
          <t>Logistics may make €299 NL source preferable.</t>
        </is>
      </c>
    </row>
    <row r="36">
      <c r="A36" s="120" t="inlineStr">
        <is>
          <t>B</t>
        </is>
      </c>
      <c r="B36" s="120" t="inlineStr">
        <is>
          <t>NL/BE</t>
        </is>
      </c>
      <c r="C36" s="120" t="inlineStr">
        <is>
          <t>HELIX DIRECTOR for SCP</t>
        </is>
      </c>
      <c r="D36" s="120" t="inlineStr">
        <is>
          <t>HifiMotive dealer network</t>
        </is>
      </c>
      <c r="E36" s="122" t="n">
        <v>299</v>
      </c>
      <c r="F36" s="120" t="inlineStr">
        <is>
          <t>Dealer availability varies</t>
        </is>
      </c>
      <c r="G36" s="120" t="inlineStr">
        <is>
          <t>Local RRP reference</t>
        </is>
      </c>
      <c r="H36" s="120" t="inlineStr">
        <is>
          <t>https://www.caraudio.nl/assortiment/helix</t>
        </is>
      </c>
      <c r="I36" s="120" t="inlineStr">
        <is>
          <t>SCP controller</t>
        </is>
      </c>
      <c r="J36" s="120" t="inlineStr">
        <is>
          <t>Common</t>
        </is>
      </c>
      <c r="K36" s="120" t="inlineStr">
        <is>
          <t>2026-09-10</t>
        </is>
      </c>
      <c r="L36" s="120" t="inlineStr">
        <is>
          <t>HIGH</t>
        </is>
      </c>
      <c r="M36" s="120" t="inlineStr">
        <is>
          <t>€50 NL premium vs ARS24, before logistics.</t>
        </is>
      </c>
    </row>
    <row r="37">
      <c r="A37" s="120" t="inlineStr">
        <is>
          <t>B</t>
        </is>
      </c>
      <c r="B37" s="120" t="inlineStr">
        <is>
          <t>NL/BE</t>
        </is>
      </c>
      <c r="C37" s="120" t="inlineStr">
        <is>
          <t>BOXMORE BXA M80 S3.1</t>
        </is>
      </c>
      <c r="D37" s="120" t="inlineStr">
        <is>
          <t>HifiMotive / BOXMORE dealer</t>
        </is>
      </c>
      <c r="E37" s="122" t="n">
        <v>199</v>
      </c>
      <c r="F37" s="120" t="inlineStr">
        <is>
          <t>Dealer stock varies</t>
        </is>
      </c>
      <c r="G37" s="120" t="inlineStr">
        <is>
          <t>i5-class comparison</t>
        </is>
      </c>
      <c r="H37" s="120" t="inlineStr">
        <is>
          <t>https://www.caraudio.nl/assortiment/boxmore</t>
        </is>
      </c>
      <c r="I37" s="120" t="inlineStr">
        <is>
          <t>80 mm pair</t>
        </is>
      </c>
      <c r="J37" s="120" t="inlineStr">
        <is>
          <t>Sourcing compare</t>
        </is>
      </c>
      <c r="K37" s="120" t="inlineStr">
        <is>
          <t>2026-09-10</t>
        </is>
      </c>
      <c r="L37" s="120" t="inlineStr">
        <is>
          <t>HIGH</t>
        </is>
      </c>
      <c r="M37" s="120" t="inlineStr">
        <is>
          <t>Family/platform related to HELIX Compose; exact SKU identity not assumed.</t>
        </is>
      </c>
    </row>
    <row r="38">
      <c r="A38" s="120" t="inlineStr">
        <is>
          <t>B</t>
        </is>
      </c>
      <c r="B38" s="120" t="inlineStr">
        <is>
          <t>NL/BE</t>
        </is>
      </c>
      <c r="C38" s="120" t="inlineStr">
        <is>
          <t>BOXMORE BXA M50 S3.1</t>
        </is>
      </c>
      <c r="D38" s="120" t="inlineStr">
        <is>
          <t>HifiMotive / BOXMORE dealer</t>
        </is>
      </c>
      <c r="E38" s="122" t="n">
        <v>149</v>
      </c>
      <c r="F38" s="120" t="inlineStr">
        <is>
          <t>Dealer stock varies</t>
        </is>
      </c>
      <c r="G38" s="120" t="inlineStr">
        <is>
          <t>i5-class comparison</t>
        </is>
      </c>
      <c r="H38" s="120" t="inlineStr">
        <is>
          <t>https://www.caraudio.nl/assortiment/boxmore</t>
        </is>
      </c>
      <c r="I38" s="120" t="inlineStr">
        <is>
          <t>50 mm pair</t>
        </is>
      </c>
      <c r="J38" s="120" t="inlineStr">
        <is>
          <t>Sourcing compare</t>
        </is>
      </c>
      <c r="K38" s="120" t="inlineStr">
        <is>
          <t>2026-09-10</t>
        </is>
      </c>
      <c r="L38" s="120" t="inlineStr">
        <is>
          <t>HIGH</t>
        </is>
      </c>
      <c r="M38" s="120" t="inlineStr">
        <is>
          <t>€20 below HELIX Ci5 M50 current DE price.</t>
        </is>
      </c>
    </row>
    <row r="39">
      <c r="A39" s="120" t="inlineStr">
        <is>
          <t>B</t>
        </is>
      </c>
      <c r="B39" s="120" t="inlineStr">
        <is>
          <t>NL/BE</t>
        </is>
      </c>
      <c r="C39" s="120" t="inlineStr">
        <is>
          <t>BOXMORE BXS W200 S3.1</t>
        </is>
      </c>
      <c r="D39" s="120" t="inlineStr">
        <is>
          <t>HifiMotive / BOXMORE dealer</t>
        </is>
      </c>
      <c r="E39" s="122" t="n">
        <v>399</v>
      </c>
      <c r="F39" s="120" t="inlineStr">
        <is>
          <t>Dealer stock varies</t>
        </is>
      </c>
      <c r="G39" s="120" t="inlineStr">
        <is>
          <t>i7-class comparison</t>
        </is>
      </c>
      <c r="H39" s="120" t="inlineStr">
        <is>
          <t>https://www.caraudio.nl/artikel/boxmore/boxmore-bxs-w200-s3-1-specialist-200-mm-woofer-set-bxsw200s3_1</t>
        </is>
      </c>
      <c r="I39" s="120" t="inlineStr">
        <is>
          <t>200 mm pair, 3Ω / 150W RMS</t>
        </is>
      </c>
      <c r="J39" s="120" t="inlineStr">
        <is>
          <t>Sourcing compare</t>
        </is>
      </c>
      <c r="K39" s="120" t="inlineStr">
        <is>
          <t>2026-09-10</t>
        </is>
      </c>
      <c r="L39" s="120" t="inlineStr">
        <is>
          <t>HIGH</t>
        </is>
      </c>
      <c r="M39" s="120" t="inlineStr">
        <is>
          <t>Selective high-end candidate; exact Tesla mount/accessory fit verify.</t>
        </is>
      </c>
    </row>
    <row r="40">
      <c r="A40" s="120" t="inlineStr">
        <is>
          <t>B</t>
        </is>
      </c>
      <c r="B40" s="120" t="inlineStr">
        <is>
          <t>NL/BE</t>
        </is>
      </c>
      <c r="C40" s="120" t="inlineStr">
        <is>
          <t>BOXMORE BXS M100FL S3.1</t>
        </is>
      </c>
      <c r="D40" s="120" t="inlineStr">
        <is>
          <t>HifiMotive / BOXMORE dealer</t>
        </is>
      </c>
      <c r="E40" s="122" t="n">
        <v>269</v>
      </c>
      <c r="F40" s="120" t="inlineStr">
        <is>
          <t>Dealer stock varies</t>
        </is>
      </c>
      <c r="G40" s="120" t="inlineStr">
        <is>
          <t>i7-class comparison</t>
        </is>
      </c>
      <c r="H40" s="120" t="inlineStr">
        <is>
          <t>https://www.caraudio.nl/artikel/boxmore-bxs-m100fl-s3-1-100-mm-shallow-midrange-set-bxsm100fls3_1</t>
        </is>
      </c>
      <c r="I40" s="120" t="inlineStr">
        <is>
          <t>100 mm pair, 3Ω / 90W RMS</t>
        </is>
      </c>
      <c r="J40" s="120" t="inlineStr">
        <is>
          <t>Sourcing compare</t>
        </is>
      </c>
      <c r="K40" s="120" t="inlineStr">
        <is>
          <t>2026-09-10</t>
        </is>
      </c>
      <c r="L40" s="120" t="inlineStr">
        <is>
          <t>HIGH</t>
        </is>
      </c>
      <c r="M40" s="120" t="inlineStr">
        <is>
          <t>HELIX Ci7 M100 is 100W RMS; not literally identical on published specs.</t>
        </is>
      </c>
    </row>
    <row r="41">
      <c r="A41" s="120" t="inlineStr">
        <is>
          <t>B</t>
        </is>
      </c>
      <c r="B41" s="120" t="inlineStr">
        <is>
          <t>NL/BE</t>
        </is>
      </c>
      <c r="C41" s="120" t="inlineStr">
        <is>
          <t>BOXMORE BXS T20RC.1</t>
        </is>
      </c>
      <c r="D41" s="120" t="inlineStr">
        <is>
          <t>HifiMotive / BOXMORE dealer</t>
        </is>
      </c>
      <c r="E41" s="122" t="n">
        <v>249</v>
      </c>
      <c r="F41" s="120" t="inlineStr">
        <is>
          <t>Dealer stock varies</t>
        </is>
      </c>
      <c r="G41" s="120" t="inlineStr">
        <is>
          <t>i7-class comparison</t>
        </is>
      </c>
      <c r="H41" s="120" t="inlineStr">
        <is>
          <t>https://www.caraudio.nl/artikel/boxmore-bxs-t20rc-1-20-mm-soft-dome-tweeters-set-bxst20rc_1</t>
        </is>
      </c>
      <c r="I41" s="120" t="inlineStr">
        <is>
          <t>20 mm soft-dome pair</t>
        </is>
      </c>
      <c r="J41" s="120" t="inlineStr">
        <is>
          <t>Sourcing compare</t>
        </is>
      </c>
      <c r="K41" s="120" t="inlineStr">
        <is>
          <t>2026-09-10</t>
        </is>
      </c>
      <c r="L41" s="120" t="inlineStr">
        <is>
          <t>HIGH</t>
        </is>
      </c>
      <c r="M41" s="120" t="inlineStr">
        <is>
          <t>Selective high-end candidate; adapter compatibility verify.</t>
        </is>
      </c>
    </row>
    <row r="42">
      <c r="A42" s="120" t="inlineStr">
        <is>
          <t>A</t>
        </is>
      </c>
      <c r="B42" s="120" t="inlineStr">
        <is>
          <t>DE</t>
        </is>
      </c>
      <c r="C42" s="120" t="inlineStr">
        <is>
          <t>HELIX Ci7 W200FM-S3</t>
        </is>
      </c>
      <c r="D42" s="120" t="inlineStr">
        <is>
          <t>CarHifi-Store Bünde</t>
        </is>
      </c>
      <c r="E42" s="122" t="n">
        <v>539</v>
      </c>
      <c r="F42" s="120" t="inlineStr">
        <is>
          <t>Sofort verfügbar</t>
        </is>
      </c>
      <c r="G42" s="120" t="inlineStr">
        <is>
          <t>i7 genuine HELIX reference</t>
        </is>
      </c>
      <c r="H42" s="120" t="inlineStr">
        <is>
          <t>https://www.carhifi-store-buende.de/lautsprecher/helix-compose/helix-compose-i7/</t>
        </is>
      </c>
      <c r="I42" s="120" t="inlineStr">
        <is>
          <t>200 mm pair, 3Ω / 150W RMS</t>
        </is>
      </c>
      <c r="J42" s="120" t="inlineStr">
        <is>
          <t>i7 compare</t>
        </is>
      </c>
      <c r="K42" s="120" t="inlineStr">
        <is>
          <t>2026-09-10</t>
        </is>
      </c>
      <c r="L42" s="120" t="inlineStr">
        <is>
          <t>HIGH</t>
        </is>
      </c>
      <c r="M42" s="120" t="inlineStr">
        <is>
          <t>Bünde also lists no-grille version at €509; Tesla does not need an aftermarket grille.</t>
        </is>
      </c>
    </row>
    <row r="43">
      <c r="A43" s="120" t="inlineStr">
        <is>
          <t>A</t>
        </is>
      </c>
      <c r="B43" s="120" t="inlineStr">
        <is>
          <t>DE</t>
        </is>
      </c>
      <c r="C43" s="120" t="inlineStr">
        <is>
          <t>HELIX Ci7 M100FM-S3</t>
        </is>
      </c>
      <c r="D43" s="120" t="inlineStr">
        <is>
          <t>CarHifi-Store Bünde</t>
        </is>
      </c>
      <c r="E43" s="122" t="n">
        <v>399</v>
      </c>
      <c r="F43" s="120" t="inlineStr">
        <is>
          <t>Verfügbar in 4 Tagen</t>
        </is>
      </c>
      <c r="G43" s="120" t="inlineStr">
        <is>
          <t>i7 genuine HELIX reference</t>
        </is>
      </c>
      <c r="H43" s="120" t="inlineStr">
        <is>
          <t>https://www.carhifi-store-buende.de/lautsprecher/helix-compose/helix-compose-i7/</t>
        </is>
      </c>
      <c r="I43" s="120" t="inlineStr">
        <is>
          <t>100 mm pair, 3Ω / 100W RMS</t>
        </is>
      </c>
      <c r="J43" s="120" t="inlineStr">
        <is>
          <t>i7 compare</t>
        </is>
      </c>
      <c r="K43" s="120" t="inlineStr">
        <is>
          <t>2026-09-10</t>
        </is>
      </c>
      <c r="L43" s="120" t="inlineStr">
        <is>
          <t>HIGH</t>
        </is>
      </c>
      <c r="M43" s="120" t="inlineStr">
        <is>
          <t>Published RMS differs from BOXMORE BXS M100 90W, so avoid 100%-identical claim.</t>
        </is>
      </c>
    </row>
    <row r="44">
      <c r="A44" s="120" t="inlineStr">
        <is>
          <t>A</t>
        </is>
      </c>
      <c r="B44" s="120" t="inlineStr">
        <is>
          <t>DE</t>
        </is>
      </c>
      <c r="C44" s="120" t="inlineStr">
        <is>
          <t>HELIX Ci7 T20FM-SC</t>
        </is>
      </c>
      <c r="D44" s="120" t="inlineStr">
        <is>
          <t>CarHifi-Store Bünde</t>
        </is>
      </c>
      <c r="E44" s="122" t="n">
        <v>399</v>
      </c>
      <c r="F44" s="120" t="inlineStr">
        <is>
          <t>Sofort verfügbar / some listings show 4-day replenishment</t>
        </is>
      </c>
      <c r="G44" s="120" t="inlineStr">
        <is>
          <t>i7 genuine HELIX reference</t>
        </is>
      </c>
      <c r="H44" s="120" t="inlineStr">
        <is>
          <t>https://www.carhifi-store-buende.de/helix-ci7-t20fm-sc</t>
        </is>
      </c>
      <c r="I44" s="120" t="inlineStr">
        <is>
          <t>20 mm silk dome pair</t>
        </is>
      </c>
      <c r="J44" s="120" t="inlineStr">
        <is>
          <t>i7 compare</t>
        </is>
      </c>
      <c r="K44" s="120" t="inlineStr">
        <is>
          <t>2026-09-10</t>
        </is>
      </c>
      <c r="L44" s="120" t="inlineStr">
        <is>
          <t>HIGH</t>
        </is>
      </c>
      <c r="M44" s="120" t="inlineStr">
        <is>
          <t>Use exact stock confirmation at time of purchase.</t>
        </is>
      </c>
    </row>
    <row r="45">
      <c r="A45" s="120" t="inlineStr">
        <is>
          <t>A</t>
        </is>
      </c>
      <c r="B45" s="120" t="inlineStr">
        <is>
          <t>NL</t>
        </is>
      </c>
      <c r="C45" s="120" t="inlineStr">
        <is>
          <t>MATCH UP 1FX</t>
        </is>
      </c>
      <c r="D45" s="120" t="inlineStr">
        <is>
          <t>HifiMotive dealer network</t>
        </is>
      </c>
      <c r="E45" s="122" t="n">
        <v>299</v>
      </c>
      <c r="F45" s="120" t="inlineStr">
        <is>
          <t>NL RRP</t>
        </is>
      </c>
      <c r="G45" s="120" t="inlineStr">
        <is>
          <t>Preferred replacement candidate</t>
        </is>
      </c>
      <c r="H45" s="124" t="inlineStr">
        <is>
          <t>https://www.audiotec-fischer.de/en/match/amplifiers/up-1fx</t>
        </is>
      </c>
      <c r="I45" s="120" t="inlineStr">
        <is>
          <t>10.5–18 V; 1 Ω stable; driver series-wiring verification required</t>
        </is>
      </c>
      <c r="J45" s="120" t="inlineStr">
        <is>
          <t>Sub amp S3</t>
        </is>
      </c>
      <c r="K45" s="120" t="inlineStr">
        <is>
          <t>2026-09-10</t>
        </is>
      </c>
      <c r="L45" s="120" t="inlineStr">
        <is>
          <t>HIGH</t>
        </is>
      </c>
    </row>
    <row r="46">
      <c r="A46" s="120" t="inlineStr">
        <is>
          <t>A</t>
        </is>
      </c>
      <c r="B46" s="120" t="inlineStr">
        <is>
          <t>DE/FR</t>
        </is>
      </c>
      <c r="C46" s="120" t="inlineStr">
        <is>
          <t>MATCH UP 1FX</t>
        </is>
      </c>
      <c r="D46" s="120" t="inlineStr">
        <is>
          <t>ARS24</t>
        </is>
      </c>
      <c r="E46" s="122" t="n">
        <v>299</v>
      </c>
      <c r="F46" s="120" t="inlineStr">
        <is>
          <t>Ready for dispatch 1–2 days; ships DE/AT/FR</t>
        </is>
      </c>
      <c r="G46" s="120" t="inlineStr">
        <is>
          <t>Current DE price</t>
        </is>
      </c>
      <c r="H46" s="124" t="inlineStr">
        <is>
          <t>https://www.ars24.com/en/match-up1fx</t>
        </is>
      </c>
      <c r="I46" s="120" t="inlineStr">
        <is>
          <t>Same €299 price; physical NL pickup not offered by ARS24</t>
        </is>
      </c>
      <c r="J46" s="120" t="inlineStr">
        <is>
          <t>Sub amp S3</t>
        </is>
      </c>
      <c r="K46" s="120" t="inlineStr">
        <is>
          <t>2026-09-10</t>
        </is>
      </c>
      <c r="L46" s="120" t="inlineStr">
        <is>
          <t>HIGH</t>
        </is>
      </c>
    </row>
    <row r="47">
      <c r="A47" s="120" t="inlineStr">
        <is>
          <t>B</t>
        </is>
      </c>
      <c r="B47" s="120" t="inlineStr">
        <is>
          <t>DE</t>
        </is>
      </c>
      <c r="C47" s="120" t="inlineStr">
        <is>
          <t>HELIX M ONE</t>
        </is>
      </c>
      <c r="D47" s="120" t="inlineStr">
        <is>
          <t>CarHifi-Store Bünde</t>
        </is>
      </c>
      <c r="E47" s="122" t="n">
        <v>299</v>
      </c>
      <c r="F47" s="120" t="inlineStr">
        <is>
          <t>Available in 4 days listing</t>
        </is>
      </c>
      <c r="G47" s="120" t="inlineStr">
        <is>
          <t>Full-HELIX alternative</t>
        </is>
      </c>
      <c r="H47" s="124" t="inlineStr">
        <is>
          <t>https://www.carhifi-store-buende.de/endstufen/helix/</t>
        </is>
      </c>
      <c r="I47" s="120" t="inlineStr">
        <is>
          <t>10.5–16 V; 600 W @1 Ω; less voltage headroom than UP 1FX</t>
        </is>
      </c>
      <c r="J47" s="120" t="inlineStr">
        <is>
          <t>Sub amp S4</t>
        </is>
      </c>
      <c r="K47" s="120" t="inlineStr">
        <is>
          <t>2026-09-10</t>
        </is>
      </c>
      <c r="L47" s="120" t="inlineStr">
        <is>
          <t>HIGH</t>
        </is>
      </c>
    </row>
    <row r="48">
      <c r="A48" s="120" t="inlineStr">
        <is>
          <t>B</t>
        </is>
      </c>
      <c r="B48" s="120" t="inlineStr">
        <is>
          <t>DE</t>
        </is>
      </c>
      <c r="C48" s="120" t="inlineStr">
        <is>
          <t>HELIX M ONE X</t>
        </is>
      </c>
      <c r="D48" s="120" t="inlineStr">
        <is>
          <t>CarHifi-Store Bünde</t>
        </is>
      </c>
      <c r="E48" s="122" t="n">
        <v>379</v>
      </c>
      <c r="F48" s="120" t="inlineStr">
        <is>
          <t>Available in 4 days listing</t>
        </is>
      </c>
      <c r="G48" s="120" t="inlineStr">
        <is>
          <t>High-power full-HELIX alternative</t>
        </is>
      </c>
      <c r="H48" s="124" t="inlineStr">
        <is>
          <t>https://www.carhifi-store-buende.de/helix-m-one-x</t>
        </is>
      </c>
      <c r="I48" s="120" t="inlineStr">
        <is>
          <t>10.5–16 V; 1030 W @1 Ω; likely more power than donor drivers need</t>
        </is>
      </c>
      <c r="J48" s="120" t="inlineStr">
        <is>
          <t>Sub amp S5</t>
        </is>
      </c>
      <c r="K48" s="120" t="inlineStr">
        <is>
          <t>2026-09-10</t>
        </is>
      </c>
      <c r="L48" s="120" t="inlineStr">
        <is>
          <t>HIGH</t>
        </is>
      </c>
    </row>
  </sheetData>
  <autoFilter ref="A4:M48"/>
  <mergeCells count="2">
    <mergeCell ref="A2:M2"/>
    <mergeCell ref="A1:M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9" customWidth="1" min="1" max="1"/>
    <col width="17" customWidth="1" min="2" max="2"/>
    <col width="30" customWidth="1" min="3" max="3"/>
    <col width="35" customWidth="1" min="4" max="4"/>
    <col width="24" customWidth="1" min="5" max="5"/>
    <col width="37" customWidth="1" min="6" max="6"/>
    <col width="28" customWidth="1" min="7" max="7"/>
    <col width="32" customWidth="1" min="8" max="8"/>
    <col width="42" customWidth="1" min="9" max="9"/>
    <col width="48" customWidth="1" min="10" max="10"/>
  </cols>
  <sheetData>
    <row r="1" ht="25" customHeight="1">
      <c r="A1" s="118" t="inlineStr">
        <is>
          <t>HELIX BUDGET ROUTES — CHANNEL / EXPANSION MAP</t>
        </is>
      </c>
    </row>
    <row r="2" ht="35" customHeight="1">
      <c r="A2" s="119" t="inlineStr">
        <is>
          <t>These maps show the budget logic. The Highland Ci3 kit keeps the front L/R mid+tweeter pairs passive in most budget routes, so 15 physical speakers require 13 cabin amplifier feeds. v1.7 adds the €949 legacy V EIGHT + 206 DSP clearance path and demonstrates why a three-box full-active variant is not attractive versus V EIGHTEEN.</t>
        </is>
      </c>
    </row>
    <row r="4" ht="34" customHeight="1">
      <c r="A4" s="76" t="inlineStr">
        <is>
          <t>Route</t>
        </is>
      </c>
      <c r="B4" s="76" t="inlineStr">
        <is>
          <t>Stage</t>
        </is>
      </c>
      <c r="C4" s="76" t="inlineStr">
        <is>
          <t>Main device / output</t>
        </is>
      </c>
      <c r="D4" s="76" t="inlineStr">
        <is>
          <t>External device / output</t>
        </is>
      </c>
      <c r="E4" s="76" t="inlineStr">
        <is>
          <t>Cabin feed / function</t>
        </is>
      </c>
      <c r="F4" s="76" t="inlineStr">
        <is>
          <t>Physical speakers represented</t>
        </is>
      </c>
      <c r="G4" s="76" t="inlineStr">
        <is>
          <t>DSP ownership</t>
        </is>
      </c>
      <c r="H4" s="76" t="inlineStr">
        <is>
          <t>Sub path</t>
        </is>
      </c>
      <c r="I4" s="76" t="inlineStr">
        <is>
          <t>Upgrade note</t>
        </is>
      </c>
      <c r="J4" s="76" t="inlineStr">
        <is>
          <t>Risk / verify</t>
        </is>
      </c>
    </row>
    <row r="5">
      <c r="A5" s="120" t="inlineStr">
        <is>
          <t>R1</t>
        </is>
      </c>
      <c r="B5" s="120" t="inlineStr">
        <is>
          <t>Now</t>
        </is>
      </c>
      <c r="C5" s="120" t="inlineStr">
        <is>
          <t>V EIGHTEEN CH1–13</t>
        </is>
      </c>
      <c r="D5" s="120" t="inlineStr">
        <is>
          <t>—</t>
        </is>
      </c>
      <c r="E5" s="120" t="inlineStr">
        <is>
          <t>13 cabin feeds</t>
        </is>
      </c>
      <c r="F5" s="120" t="inlineStr">
        <is>
          <t>15 physical speakers; front L/R mid+tweeter passive pairs</t>
        </is>
      </c>
      <c r="G5" s="120" t="inlineStr">
        <is>
          <t>Single V EIGHTEEN 20ch DSP</t>
        </is>
      </c>
      <c r="H5" s="120" t="inlineStr">
        <is>
          <t>V EIGHTEEN processed RCA → Pioneer</t>
        </is>
      </c>
      <c r="I5" s="120" t="inlineStr">
        <is>
          <t>Later bypass L/R passive XO and expand to 15 individual V EIGHTEEN channels</t>
        </is>
      </c>
      <c r="J5" s="120" t="inlineStr">
        <is>
          <t>Need dedicated wiring to make kit drivers fully active later.</t>
        </is>
      </c>
    </row>
    <row r="6">
      <c r="A6" s="120" t="inlineStr">
        <is>
          <t>R1</t>
        </is>
      </c>
      <c r="B6" s="120" t="inlineStr">
        <is>
          <t>Later full-active</t>
        </is>
      </c>
      <c r="C6" s="120" t="inlineStr">
        <is>
          <t>V EIGHTEEN CH1–15</t>
        </is>
      </c>
      <c r="D6" s="120" t="inlineStr">
        <is>
          <t>—</t>
        </is>
      </c>
      <c r="E6" s="120" t="inlineStr">
        <is>
          <t>15 individual cabin feeds</t>
        </is>
      </c>
      <c r="F6" s="120" t="inlineStr">
        <is>
          <t>15 physical speakers</t>
        </is>
      </c>
      <c r="G6" s="120" t="inlineStr">
        <is>
          <t>Single V EIGHTEEN 20ch DSP</t>
        </is>
      </c>
      <c r="H6" s="120" t="inlineStr">
        <is>
          <t>Processed RCA → Pioneer</t>
        </is>
      </c>
      <c r="I6" s="120" t="inlineStr">
        <is>
          <t>CH16–18 remain spare</t>
        </is>
      </c>
      <c r="J6" s="120" t="inlineStr">
        <is>
          <t>Best clean end-state.</t>
        </is>
      </c>
    </row>
    <row r="7">
      <c r="A7" s="120" t="inlineStr">
        <is>
          <t>R2</t>
        </is>
      </c>
      <c r="B7" s="120" t="inlineStr">
        <is>
          <t>Final</t>
        </is>
      </c>
      <c r="C7" s="120" t="inlineStr">
        <is>
          <t>NEXT V EIGHT CH1–8</t>
        </is>
      </c>
      <c r="D7" s="120" t="inlineStr">
        <is>
          <t>206 DIRECT CH1–5 from V EIGHT RCA OUT1–5</t>
        </is>
      </c>
      <c r="E7" s="120" t="inlineStr">
        <is>
          <t>13 cabin feeds</t>
        </is>
      </c>
      <c r="F7" s="120" t="inlineStr">
        <is>
          <t>15 physical speakers; passive L/R mid+tweeter pairs</t>
        </is>
      </c>
      <c r="G7" s="120" t="inlineStr">
        <is>
          <t>Single V EIGHT 14ch DSP</t>
        </is>
      </c>
      <c r="H7" s="120" t="inlineStr">
        <is>
          <t>V EIGHT RCA OUT6 → Pioneer</t>
        </is>
      </c>
      <c r="I7" s="120" t="inlineStr">
        <is>
          <t>No second DSP; all 14 DSP channels consumed</t>
        </is>
      </c>
      <c r="J7" s="120" t="inlineStr">
        <is>
          <t>Cannot later reach 15 individual cabin channels + sub without another DSP / changing main DSP.</t>
        </is>
      </c>
    </row>
    <row r="8">
      <c r="A8" s="120" t="inlineStr">
        <is>
          <t>R3</t>
        </is>
      </c>
      <c r="B8" s="120" t="inlineStr">
        <is>
          <t>Stage 1</t>
        </is>
      </c>
      <c r="C8" s="120" t="inlineStr">
        <is>
          <t>V TWELVE CH1–12</t>
        </is>
      </c>
      <c r="D8" s="120" t="inlineStr">
        <is>
          <t>—</t>
        </is>
      </c>
      <c r="E8" s="120" t="inlineStr">
        <is>
          <t>12 cabin feeds</t>
        </is>
      </c>
      <c r="F8" s="120" t="inlineStr">
        <is>
          <t>15 physical; passive front pairs + headliners combined/series as ambience pair</t>
        </is>
      </c>
      <c r="G8" s="120" t="inlineStr">
        <is>
          <t>Single V TWELVE 14ch DSP</t>
        </is>
      </c>
      <c r="H8" s="120" t="inlineStr">
        <is>
          <t>RCA → Pioneer</t>
        </is>
      </c>
      <c r="I8" s="120" t="inlineStr">
        <is>
          <t>Add 204 DIRECT later</t>
        </is>
      </c>
      <c r="J8" s="120" t="inlineStr">
        <is>
          <t>Headliner L/R not independently tuned at stage 1; verify 6Ω series wiring and desired mono ambience.</t>
        </is>
      </c>
    </row>
    <row r="9">
      <c r="A9" s="120" t="inlineStr">
        <is>
          <t>R3</t>
        </is>
      </c>
      <c r="B9" s="120" t="inlineStr">
        <is>
          <t>Stage 2</t>
        </is>
      </c>
      <c r="C9" s="120" t="inlineStr">
        <is>
          <t>V TWELVE CH1–12</t>
        </is>
      </c>
      <c r="D9" s="120" t="inlineStr">
        <is>
          <t>204 DIRECT CH1 from V TWELVE RCA OUT1</t>
        </is>
      </c>
      <c r="E9" s="120" t="inlineStr">
        <is>
          <t>13 cabin feeds</t>
        </is>
      </c>
      <c r="F9" s="120" t="inlineStr">
        <is>
          <t>15 physical; passive front pairs, independent headliners</t>
        </is>
      </c>
      <c r="G9" s="120" t="inlineStr">
        <is>
          <t>Single V TWELVE 14ch DSP</t>
        </is>
      </c>
      <c r="H9" s="120" t="inlineStr">
        <is>
          <t>V TWELVE RCA OUT2 → Pioneer</t>
        </is>
      </c>
      <c r="I9" s="120" t="inlineStr">
        <is>
          <t>Final efficient 13-feed solution</t>
        </is>
      </c>
      <c r="J9" s="120" t="inlineStr">
        <is>
          <t>204 is underused but cheapest HELIX extension found.</t>
        </is>
      </c>
    </row>
    <row r="10">
      <c r="A10" s="120" t="inlineStr">
        <is>
          <t>R5</t>
        </is>
      </c>
      <c r="B10" s="120" t="inlineStr">
        <is>
          <t>Final / staged</t>
        </is>
      </c>
      <c r="C10" s="120" t="inlineStr">
        <is>
          <t>V TWELVE CH1–12</t>
        </is>
      </c>
      <c r="D10" s="120" t="inlineStr">
        <is>
          <t>AMPLIFY 206 DSP CH1–3</t>
        </is>
      </c>
      <c r="E10" s="120" t="inlineStr">
        <is>
          <t>15 individual cabin feeds</t>
        </is>
      </c>
      <c r="F10" s="120" t="inlineStr">
        <is>
          <t>15 physical speakers</t>
        </is>
      </c>
      <c r="G10" s="120" t="inlineStr">
        <is>
          <t>Cascaded: V TWELVE + 206 DSP</t>
        </is>
      </c>
      <c r="H10" s="120" t="inlineStr">
        <is>
          <t>206 DSP processed RCA → Pioneer</t>
        </is>
      </c>
      <c r="I10" s="120" t="inlineStr">
        <is>
          <t>V TWELVE RCA L/R configured as full-range stereo reference into 206 DSP</t>
        </is>
      </c>
      <c r="J10" s="120" t="inlineStr">
        <is>
          <t>Two DSPs; latency/time alignment and preset workflow must be measured/tuned together.</t>
        </is>
      </c>
    </row>
    <row r="11">
      <c r="A11" s="120" t="inlineStr">
        <is>
          <t>R6</t>
        </is>
      </c>
      <c r="B11" s="120" t="inlineStr">
        <is>
          <t>Later</t>
        </is>
      </c>
      <c r="C11" s="120" t="inlineStr">
        <is>
          <t>V TWELVE CH1–12</t>
        </is>
      </c>
      <c r="D11" s="120" t="inlineStr">
        <is>
          <t>DSP MINI → AMPLIFY 204 CH1–3</t>
        </is>
      </c>
      <c r="E11" s="120" t="inlineStr">
        <is>
          <t>15 individual cabin feeds</t>
        </is>
      </c>
      <c r="F11" s="120" t="inlineStr">
        <is>
          <t>15 physical speakers</t>
        </is>
      </c>
      <c r="G11" s="120" t="inlineStr">
        <is>
          <t>Cascaded: V TWELVE + DSP MINI</t>
        </is>
      </c>
      <c r="H11" s="120" t="inlineStr">
        <is>
          <t>DSP MINI output → Pioneer</t>
        </is>
      </c>
      <c r="I11" s="120" t="inlineStr">
        <is>
          <t>Two DSP MINI outputs remain available</t>
        </is>
      </c>
      <c r="J11" s="120" t="inlineStr">
        <is>
          <t>More boxes and €39 higher than 206 DSP extension.</t>
        </is>
      </c>
    </row>
    <row r="12">
      <c r="A12" s="120" t="inlineStr">
        <is>
          <t>R7/R8</t>
        </is>
      </c>
      <c r="B12" s="120" t="inlineStr">
        <is>
          <t>Used variants</t>
        </is>
      </c>
      <c r="C12" s="120" t="inlineStr">
        <is>
          <t>Same as R3 or R5</t>
        </is>
      </c>
      <c r="D12" s="120" t="inlineStr">
        <is>
          <t>Same extensions</t>
        </is>
      </c>
      <c r="E12" s="120" t="inlineStr">
        <is>
          <t>Same feed counts</t>
        </is>
      </c>
      <c r="F12" s="120" t="inlineStr">
        <is>
          <t>Same 15 physical speakers</t>
        </is>
      </c>
      <c r="G12" s="120" t="inlineStr">
        <is>
          <t>Same DSP topology</t>
        </is>
      </c>
      <c r="H12" s="120" t="inlineStr">
        <is>
          <t>Same Pioneer path</t>
        </is>
      </c>
      <c r="I12" s="120" t="inlineStr">
        <is>
          <t>Only the V TWELVE purchase state changes</t>
        </is>
      </c>
      <c r="J12" s="120" t="inlineStr">
        <is>
          <t>Private-sale condition/warranty risk.</t>
        </is>
      </c>
    </row>
    <row r="13">
      <c r="A13" s="120" t="inlineStr">
        <is>
          <t>R9</t>
        </is>
      </c>
      <c r="B13" s="120" t="inlineStr">
        <is>
          <t>Final budget</t>
        </is>
      </c>
      <c r="C13" s="120" t="inlineStr">
        <is>
          <t>V EIGHT DSP CH1–8</t>
        </is>
      </c>
      <c r="D13" s="120" t="inlineStr">
        <is>
          <t>AMPLIFY 206 DSP CH1–5</t>
        </is>
      </c>
      <c r="E13" s="120" t="inlineStr">
        <is>
          <t>13 cabin feeds</t>
        </is>
      </c>
      <c r="F13" s="120" t="inlineStr">
        <is>
          <t>15 physical; passive front pairs, independent headliners</t>
        </is>
      </c>
      <c r="G13" s="120" t="inlineStr">
        <is>
          <t>Cascaded: legacy V EIGHT + 206 DSP</t>
        </is>
      </c>
      <c r="H13" s="120" t="inlineStr">
        <is>
          <t>206 DSP processed RCA → Pioneer</t>
        </is>
      </c>
      <c r="I13" s="120" t="inlineStr">
        <is>
          <t>V EIGHT processed RCA L/R configured as stereo reference into 206 DSP</t>
        </is>
      </c>
      <c r="J13" s="120" t="inlineStr">
        <is>
          <t>Two DSPs; legacy V EIGHT has only 6 high-level inputs and clearance stock.</t>
        </is>
      </c>
    </row>
    <row r="14">
      <c r="A14" s="120" t="inlineStr">
        <is>
          <t>R10</t>
        </is>
      </c>
      <c r="B14" s="120" t="inlineStr">
        <is>
          <t>Full-active proof</t>
        </is>
      </c>
      <c r="C14" s="120" t="inlineStr">
        <is>
          <t>V EIGHT DSP CH1–8</t>
        </is>
      </c>
      <c r="D14" s="120" t="inlineStr">
        <is>
          <t>206 DSP CH1–6 + 204 DIRECT CH1 from 206 RCA1</t>
        </is>
      </c>
      <c r="E14" s="120" t="inlineStr">
        <is>
          <t>15 individual cabin feeds</t>
        </is>
      </c>
      <c r="F14" s="120" t="inlineStr">
        <is>
          <t>15 physical speakers</t>
        </is>
      </c>
      <c r="G14" s="120" t="inlineStr">
        <is>
          <t>Cascaded: V EIGHT + 206 DSP</t>
        </is>
      </c>
      <c r="H14" s="120" t="inlineStr">
        <is>
          <t>206 RCA2 → Pioneer</t>
        </is>
      </c>
      <c r="I14" s="120" t="inlineStr">
        <is>
          <t>Uses all required downstream outputs; 204 supplies the 15th cabin amplifier channel</t>
        </is>
      </c>
      <c r="J14" s="120" t="inlineStr">
        <is>
          <t>Three HELIX boxes. Only ~€12 cheaper than one-box V EIGHTEEN, therefore not recommended new.</t>
        </is>
      </c>
    </row>
  </sheetData>
  <mergeCells count="2">
    <mergeCell ref="A1:J1"/>
    <mergeCell ref="A2:J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2"/>
  <sheetViews>
    <sheetView showGridLines="0" workbookViewId="0">
      <pane ySplit="4" topLeftCell="A5" activePane="bottomLeft" state="frozen"/>
      <selection pane="bottomLeft" activeCell="A1" sqref="A1"/>
    </sheetView>
  </sheetViews>
  <sheetFormatPr baseColWidth="8" defaultRowHeight="15"/>
  <cols>
    <col width="18" customWidth="1" min="1" max="1"/>
    <col width="10" customWidth="1" min="2" max="2"/>
    <col width="45" customWidth="1" min="3" max="3"/>
    <col width="15" customWidth="1" min="4" max="4"/>
    <col width="38" customWidth="1" min="5" max="5"/>
    <col width="48" customWidth="1" min="6" max="6"/>
    <col width="17" customWidth="1" min="7" max="7"/>
    <col width="40" customWidth="1" min="8" max="8"/>
    <col width="42" customWidth="1" min="9" max="9"/>
  </cols>
  <sheetData>
    <row r="1" ht="25" customHeight="1">
      <c r="A1" s="118" t="inlineStr">
        <is>
          <t>HELIX STAGED PURCHASE / UPGRADE PATH</t>
        </is>
      </c>
    </row>
    <row r="2" ht="35" customHeight="1">
      <c r="A2" s="119" t="inlineStr">
        <is>
          <t>A staged approach avoids buying a second DSP now unless you genuinely need 15 independently amplified cabin drivers. v1.7 includes a €250 configurable practical reserve concept and a current €949 legacy V EIGHT clearance option. Known totals below exclude the reserve unless explicitly stated.</t>
        </is>
      </c>
    </row>
    <row r="4" ht="34" customHeight="1">
      <c r="A4" s="76" t="inlineStr">
        <is>
          <t>Path</t>
        </is>
      </c>
      <c r="B4" s="76" t="inlineStr">
        <is>
          <t>Stage</t>
        </is>
      </c>
      <c r="C4" s="76" t="inlineStr">
        <is>
          <t>Purchase now</t>
        </is>
      </c>
      <c r="D4" s="76" t="inlineStr">
        <is>
          <t>Stage total €</t>
        </is>
      </c>
      <c r="E4" s="76" t="inlineStr">
        <is>
          <t>What works immediately</t>
        </is>
      </c>
      <c r="F4" s="76" t="inlineStr">
        <is>
          <t>Later addition</t>
        </is>
      </c>
      <c r="G4" s="76" t="inlineStr">
        <is>
          <t>Final known total €</t>
        </is>
      </c>
      <c r="H4" s="76" t="inlineStr">
        <is>
          <t>Why choose it</t>
        </is>
      </c>
      <c r="I4" s="76" t="inlineStr">
        <is>
          <t>Why not</t>
        </is>
      </c>
    </row>
    <row r="5">
      <c r="A5" s="126" t="inlineStr">
        <is>
          <t>A — cleanest</t>
        </is>
      </c>
      <c r="B5" s="126" t="inlineStr">
        <is>
          <t>1</t>
        </is>
      </c>
      <c r="C5" s="126" t="inlineStr">
        <is>
          <t>V EIGHTEEN + full budget speaker basket + Director + PP-TES</t>
        </is>
      </c>
      <c r="D5" s="130" t="n">
        <v>3611.98</v>
      </c>
      <c r="E5" s="126" t="inlineStr">
        <is>
          <t>All 15 physical speakers; can run 13-feed passive-front initially</t>
        </is>
      </c>
      <c r="F5" s="126" t="inlineStr">
        <is>
          <t>Later: only bypass front passive XO / upgrade i5/i7 speakers; no DSP replacement</t>
        </is>
      </c>
      <c r="G5" s="130" t="n">
        <v>3611.98</v>
      </c>
      <c r="H5" s="126" t="inlineStr">
        <is>
          <t>One DSP/amp, future full active already supported</t>
        </is>
      </c>
      <c r="I5" s="126" t="inlineStr">
        <is>
          <t>~€112 above €3,500 before wiring.</t>
        </is>
      </c>
    </row>
    <row r="6">
      <c r="A6" s="126" t="inlineStr">
        <is>
          <t>B — closest new €3.5k</t>
        </is>
      </c>
      <c r="B6" s="126" t="inlineStr">
        <is>
          <t>1</t>
        </is>
      </c>
      <c r="C6" s="126" t="inlineStr">
        <is>
          <t>NEXT V EIGHT ULTIMATE + 206 DIRECT + budget basket</t>
        </is>
      </c>
      <c r="D6" s="130" t="n">
        <v>3520.98</v>
      </c>
      <c r="E6" s="126" t="inlineStr">
        <is>
          <t>15 physical / 13 feeds + processed Pioneer sub</t>
        </is>
      </c>
      <c r="F6" s="126" t="inlineStr">
        <is>
          <t>Later second DSP only if moving to 15 independent cabin channels</t>
        </is>
      </c>
      <c r="G6" s="130" t="n">
        <v>3520.98</v>
      </c>
      <c r="H6" s="126" t="inlineStr">
        <is>
          <t>Very close to budget and high channel power</t>
        </is>
      </c>
      <c r="I6" s="126" t="inlineStr">
        <is>
          <t>Two amp boxes; 14 central DSP channels fully consumed.</t>
        </is>
      </c>
    </row>
    <row r="7">
      <c r="A7" s="126" t="inlineStr">
        <is>
          <t>C — staged 12ch</t>
        </is>
      </c>
      <c r="B7" s="126" t="inlineStr">
        <is>
          <t>1</t>
        </is>
      </c>
      <c r="C7" s="126" t="inlineStr">
        <is>
          <t>V TWELVE only + budget basket</t>
        </is>
      </c>
      <c r="D7" s="130" t="n">
        <v>3311.98</v>
      </c>
      <c r="E7" s="126" t="inlineStr">
        <is>
          <t>15 physical / 12 feeds; passive front pairs; headliners temporarily combined</t>
        </is>
      </c>
      <c r="F7" s="126" t="inlineStr">
        <is>
          <t>Add AMPLIFY 204 DIRECT (€239) when independent headliner L/R tuning is wanted</t>
        </is>
      </c>
      <c r="G7" s="130" t="n">
        <v>3550.98</v>
      </c>
      <c r="H7" s="126" t="inlineStr">
        <is>
          <t>Lets you spend on wiring/damping first and add one small amp later</t>
        </is>
      </c>
      <c r="I7" s="126" t="inlineStr">
        <is>
          <t>Stage 1 headliner compromise; final still passive front pairs.</t>
        </is>
      </c>
    </row>
    <row r="8">
      <c r="A8" s="126" t="inlineStr">
        <is>
          <t>D — staged full 15</t>
        </is>
      </c>
      <c r="B8" s="126" t="inlineStr">
        <is>
          <t>1</t>
        </is>
      </c>
      <c r="C8" s="126" t="inlineStr">
        <is>
          <t>V TWELVE only + budget basket</t>
        </is>
      </c>
      <c r="D8" s="130" t="n">
        <v>3311.98</v>
      </c>
      <c r="E8" s="126" t="inlineStr">
        <is>
          <t>Same 12-feed stage as C</t>
        </is>
      </c>
      <c r="F8" s="126" t="inlineStr">
        <is>
          <t>Add AMPLIFY 206 DSP (€599); route V TWELVE stereo line reference into second DSP</t>
        </is>
      </c>
      <c r="G8" s="130" t="n">
        <v>3910.98</v>
      </c>
      <c r="H8" s="126" t="inlineStr">
        <is>
          <t>15 independently amplified cabin speakers later without replacing V TWELVE</t>
        </is>
      </c>
      <c r="I8" s="126" t="inlineStr">
        <is>
          <t>Two DSP tuning stacks and only ~€89 to €4k before wiring.</t>
        </is>
      </c>
    </row>
    <row r="9">
      <c r="A9" s="126" t="inlineStr">
        <is>
          <t>E — small DSP later</t>
        </is>
      </c>
      <c r="B9" s="126" t="inlineStr">
        <is>
          <t>1</t>
        </is>
      </c>
      <c r="C9" s="126" t="inlineStr">
        <is>
          <t>V TWELVE only + budget basket</t>
        </is>
      </c>
      <c r="D9" s="130" t="n">
        <v>3311.98</v>
      </c>
      <c r="E9" s="126" t="inlineStr">
        <is>
          <t>Same 12-feed stage</t>
        </is>
      </c>
      <c r="F9" s="126" t="inlineStr">
        <is>
          <t>Add DSP MINI MK2 (€399) + AMPLIFY 204 DIRECT (€239)</t>
        </is>
      </c>
      <c r="G9" s="130" t="n">
        <v>3949.98</v>
      </c>
      <c r="H9" s="126" t="inlineStr">
        <is>
          <t>Explicit small-DSP expansion path</t>
        </is>
      </c>
      <c r="I9" s="126" t="inlineStr">
        <is>
          <t>More boxes and higher cost than 206 DSP; not recommended unless MINI is already owned.</t>
        </is>
      </c>
    </row>
    <row r="10">
      <c r="A10" s="133" t="inlineStr">
        <is>
          <t>F — used value</t>
        </is>
      </c>
      <c r="B10" s="133" t="inlineStr">
        <is>
          <t>1</t>
        </is>
      </c>
      <c r="C10" s="133" t="inlineStr">
        <is>
          <t>Used V TWELVE €1,200 + budget basket</t>
        </is>
      </c>
      <c r="D10" s="137" t="n">
        <v>3012.98</v>
      </c>
      <c r="E10" s="133" t="inlineStr">
        <is>
          <t>Same 12-feed stage</t>
        </is>
      </c>
      <c r="F10" s="133" t="inlineStr">
        <is>
          <t>Add 204 DIRECT → €3,251.98 OR add 206 DSP → €3,611.98</t>
        </is>
      </c>
      <c r="G10" s="137" t="n">
        <v>3611.98</v>
      </c>
      <c r="H10" s="133" t="inlineStr">
        <is>
          <t>Current used price still leaves more budget than new V TWELVE, but the old €1,050 scout is no longer current.</t>
        </is>
      </c>
      <c r="I10" s="133" t="inlineStr">
        <is>
          <t>Used listing is transient/private and two-DSP option remains complex.</t>
        </is>
      </c>
    </row>
    <row r="11">
      <c r="A11" s="126" t="inlineStr">
        <is>
          <t>G — clearance sleeper</t>
        </is>
      </c>
      <c r="B11" s="126" t="inlineStr">
        <is>
          <t>1</t>
        </is>
      </c>
      <c r="C11" s="126" t="inlineStr">
        <is>
          <t>Legacy V EIGHT DSP €949 + AMPLIFY 206 DSP €599 + budget basket</t>
        </is>
      </c>
      <c r="D11" s="145" t="n">
        <v>3360.98</v>
      </c>
      <c r="E11" s="126" t="inlineStr">
        <is>
          <t>15 physical / 13 feeds; passive front pairs; independent headliners</t>
        </is>
      </c>
      <c r="F11" s="126" t="inlineStr">
        <is>
          <t>Optional 204 DIRECT later only if true 15-channel full active becomes mandatory</t>
        </is>
      </c>
      <c r="G11" s="145" t="n">
        <v>3599.98</v>
      </c>
      <c r="H11" s="126" t="inlineStr">
        <is>
          <t>Best all-new known-hardware total under €3.5k while keeping touchscreen and independent headliners</t>
        </is>
      </c>
      <c r="I11" s="126" t="inlineStr">
        <is>
          <t>Two DSPs and discontinued/clearance main DSP; stock risk.</t>
        </is>
      </c>
    </row>
    <row r="12">
      <c r="A12" s="126" t="inlineStr">
        <is>
          <t>H — clearance full-active</t>
        </is>
      </c>
      <c r="B12" s="126" t="inlineStr">
        <is>
          <t>2</t>
        </is>
      </c>
      <c r="C12" s="126" t="inlineStr">
        <is>
          <t>Add AMPLIFY 204 DIRECT to path G</t>
        </is>
      </c>
      <c r="D12" s="145" t="n">
        <v>3599.98</v>
      </c>
      <c r="E12" s="126" t="inlineStr">
        <is>
          <t>15 independently amplified cabin speakers + Pioneer DSP feed</t>
        </is>
      </c>
      <c r="F12" s="126" t="inlineStr">
        <is>
          <t>No further DSP needed</t>
        </is>
      </c>
      <c r="G12" s="145" t="n">
        <v>3599.98</v>
      </c>
      <c r="H12" s="126" t="inlineStr">
        <is>
          <t>Proves full-active can fit ~€3.6k known hardware</t>
        </is>
      </c>
      <c r="I12" s="126" t="inlineStr">
        <is>
          <t>Three boxes and only ~€12 cheaper than V EIGHTEEN; choose V EIGHTEEN instead for a new clean build.</t>
        </is>
      </c>
    </row>
  </sheetData>
  <mergeCells count="2">
    <mergeCell ref="A1:I1"/>
    <mergeCell ref="A2:I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2"/>
  <sheetViews>
    <sheetView showGridLines="0" workbookViewId="0">
      <pane ySplit="4" topLeftCell="A5" activePane="bottomLeft" state="frozen"/>
      <selection pane="bottomLeft" activeCell="A1" sqref="A1"/>
    </sheetView>
  </sheetViews>
  <sheetFormatPr baseColWidth="8" defaultRowHeight="15"/>
  <cols>
    <col width="28" customWidth="1" min="1" max="1"/>
    <col width="42" customWidth="1" min="2" max="2"/>
    <col width="42" customWidth="1" min="3" max="3"/>
    <col width="65" customWidth="1" min="4" max="4"/>
  </cols>
  <sheetData>
    <row r="1" ht="28" customHeight="1">
      <c r="A1" s="101" t="inlineStr">
        <is>
          <t>HELIX FULL-CABIN COMPARISON — i5-PRIORITY vs i7-PRIORITY</t>
        </is>
      </c>
    </row>
    <row r="2" ht="34" customHeight="1">
      <c r="A2" s="102" t="inlineStr">
        <is>
          <t>Current price snapshot updated 2026-09-06. Existing i5/i7-priority scenarios are preserved. New budget sheets show that the most cost-effective all-HELIX path is a Ci3 Highland/i5 small-driver basket with either V EIGHTEEN (~€3.61k) or NEXT V EIGHT + AMPLIFY 206 DIRECT (~€3.52k).</t>
        </is>
      </c>
    </row>
    <row r="4" ht="32" customHeight="1">
      <c r="A4" s="103" t="inlineStr">
        <is>
          <t>Metric / decision</t>
        </is>
      </c>
      <c r="B4" s="103" t="inlineStr">
        <is>
          <t>i5-priority</t>
        </is>
      </c>
      <c r="C4" s="103" t="inlineStr">
        <is>
          <t>i7-priority</t>
        </is>
      </c>
      <c r="D4" s="103" t="inlineStr">
        <is>
          <t>Interpretation</t>
        </is>
      </c>
    </row>
    <row r="5">
      <c r="A5" s="104" t="inlineStr">
        <is>
          <t>Known component total</t>
        </is>
      </c>
      <c r="B5" s="105">
        <f>'HELIX_i5_Setup'!B29</f>
        <v/>
      </c>
      <c r="C5" s="105">
        <f>'HELIX_i7_Setup'!B29</f>
        <v/>
      </c>
      <c r="D5" s="104" t="inlineStr">
        <is>
          <t>Known retail hardware only; see each setup for exclusions.</t>
        </is>
      </c>
    </row>
    <row r="6">
      <c r="A6" s="78" t="inlineStr">
        <is>
          <t>Delta vs old €3,500 budget</t>
        </is>
      </c>
      <c r="B6" s="106">
        <f>'HELIX_i5_Setup'!B31</f>
        <v/>
      </c>
      <c r="C6" s="106">
        <f>'HELIX_i7_Setup'!B31</f>
        <v/>
      </c>
      <c r="D6" s="78" t="inlineStr">
        <is>
          <t>Both exceed the old target before custom integration costs.</t>
        </is>
      </c>
    </row>
    <row r="7">
      <c r="A7" s="78" t="inlineStr">
        <is>
          <t>i7 premium vs i5</t>
        </is>
      </c>
      <c r="B7" s="106" t="n">
        <v>0</v>
      </c>
      <c r="C7" s="106">
        <f>C5-B5</f>
        <v/>
      </c>
      <c r="D7" s="78" t="inlineStr">
        <is>
          <t>Additional known retail cost for i7-priority.</t>
        </is>
      </c>
    </row>
    <row r="8">
      <c r="A8" s="15" t="inlineStr">
        <is>
          <t>Cabin speakers</t>
        </is>
      </c>
      <c r="B8" s="15" t="inlineStr">
        <is>
          <t>15</t>
        </is>
      </c>
      <c r="C8" s="15" t="inlineStr">
        <is>
          <t>15</t>
        </is>
      </c>
      <c r="D8" s="15" t="inlineStr">
        <is>
          <t>Both complete the 15-speaker target.</t>
        </is>
      </c>
    </row>
    <row r="9">
      <c r="A9" s="15" t="inlineStr">
        <is>
          <t>Amplified cabin channels</t>
        </is>
      </c>
      <c r="B9" s="15" t="inlineStr">
        <is>
          <t>15 / 18</t>
        </is>
      </c>
      <c r="C9" s="15" t="inlineStr">
        <is>
          <t>15 / 18</t>
        </is>
      </c>
      <c r="D9" s="15" t="inlineStr">
        <is>
          <t>Three V EIGHTEEN amplified channels remain spare.</t>
        </is>
      </c>
    </row>
    <row r="10">
      <c r="A10" s="15" t="inlineStr">
        <is>
          <t>DSP channels</t>
        </is>
      </c>
      <c r="B10" s="15" t="inlineStr">
        <is>
          <t>20</t>
        </is>
      </c>
      <c r="C10" s="15" t="inlineStr">
        <is>
          <t>20</t>
        </is>
      </c>
      <c r="D10" s="15" t="inlineStr">
        <is>
          <t>Two processed RCA outputs feed the retained Pioneer amplifier.</t>
        </is>
      </c>
    </row>
    <row r="11">
      <c r="A11" s="15" t="inlineStr">
        <is>
          <t>Front woofer</t>
        </is>
      </c>
      <c r="B11" s="15" t="inlineStr">
        <is>
          <t>Ci5 S200FM-S2 — 2Ω / 200W RMS / 25–500Hz / 47mm / ±7.8mm</t>
        </is>
      </c>
      <c r="C11" s="15" t="inlineStr">
        <is>
          <t>Ci7 W200FM-S3 — 3Ω / 150W RMS / 35–2500Hz / 65.8mm / UHD paper</t>
        </is>
      </c>
      <c r="D11" s="15" t="inlineStr">
        <is>
          <t>i5 prioritizes shallow high-excursion low-end; i7 prioritizes broader midbass range, texture and resolution.</t>
        </is>
      </c>
    </row>
    <row r="12">
      <c r="A12" s="15" t="inlineStr">
        <is>
          <t>Woofer channel constraint</t>
        </is>
      </c>
      <c r="B12" s="15" t="inlineStr">
        <is>
          <t>MUST use CH13–18 because 2Ω is only rated there</t>
        </is>
      </c>
      <c r="C12" s="15" t="inlineStr">
        <is>
          <t>3Ω; CH13/14 recommended but not a strict 2Ω constraint</t>
        </is>
      </c>
      <c r="D12" s="15" t="inlineStr">
        <is>
          <t>Important wiring difference.</t>
        </is>
      </c>
    </row>
    <row r="13">
      <c r="A13" s="15" t="inlineStr">
        <is>
          <t>Main midrange strategy</t>
        </is>
      </c>
      <c r="B13" s="15" t="inlineStr">
        <is>
          <t>Ci5 M80FM-S3 — 8 units; 80→100 adapters for six 100mm-class positions</t>
        </is>
      </c>
      <c r="C13" s="15" t="inlineStr">
        <is>
          <t>Ci7 M100FM-S3 — 6 units directly on FlexMount100 + Ci5 M80 for front 80mm</t>
        </is>
      </c>
      <c r="D13" s="15" t="inlineStr">
        <is>
          <t>i7 is physically simpler in 100mm locations; i5 uses more adapter layers.</t>
        </is>
      </c>
    </row>
    <row r="14">
      <c r="A14" s="15" t="inlineStr">
        <is>
          <t>Center</t>
        </is>
      </c>
      <c r="B14" s="15" t="inlineStr">
        <is>
          <t>Ci3 C100.2FM-S3 MK2 coax</t>
        </is>
      </c>
      <c r="C14" s="15" t="inlineStr">
        <is>
          <t>Ci3 C100.2FM-S3 MK2 coax</t>
        </is>
      </c>
      <c r="D14" s="15" t="inlineStr">
        <is>
          <t>Full-range center chosen intentionally; one speaker from the purchased pair remains spare.</t>
        </is>
      </c>
    </row>
    <row r="15">
      <c r="A15" s="15" t="inlineStr">
        <is>
          <t>Tweeters</t>
        </is>
      </c>
      <c r="B15" s="15" t="inlineStr">
        <is>
          <t>Ci7 T20FM-SC + CFMK20 TES.1</t>
        </is>
      </c>
      <c r="C15" s="15" t="inlineStr">
        <is>
          <t>Ci7 T20FM-SC + CFMK20 TES.1</t>
        </is>
      </c>
      <c r="D15" s="15" t="inlineStr">
        <is>
          <t>Current Tesla FlexMount20 support makes this the fit-first choice in both scenarios.</t>
        </is>
      </c>
    </row>
    <row r="16">
      <c r="A16" s="15" t="inlineStr">
        <is>
          <t>Headliners</t>
        </is>
      </c>
      <c r="B16" s="15" t="inlineStr">
        <is>
          <t>Ci5 M50FM-S3</t>
        </is>
      </c>
      <c r="C16" s="15" t="inlineStr">
        <is>
          <t>Ci5 M50FM-S3</t>
        </is>
      </c>
      <c r="D16" s="15" t="inlineStr">
        <is>
          <t>i7 has no 50mm driver; custom SOP9 headliner fit still requires physical verification.</t>
        </is>
      </c>
    </row>
    <row r="17">
      <c r="A17" s="15" t="inlineStr">
        <is>
          <t>Front-door 80mm</t>
        </is>
      </c>
      <c r="B17" s="15" t="inlineStr">
        <is>
          <t>Ci5 M80FM-S3</t>
        </is>
      </c>
      <c r="C17" s="15" t="inlineStr">
        <is>
          <t>Ci5 M80FM-S3</t>
        </is>
      </c>
      <c r="D17" s="15" t="inlineStr">
        <is>
          <t>i7 has no 80mm driver.</t>
        </is>
      </c>
    </row>
    <row r="18">
      <c r="A18" s="15" t="inlineStr">
        <is>
          <t>Tesla fit evidence</t>
        </is>
      </c>
      <c r="B18" s="15" t="inlineStr">
        <is>
          <t>Official CFMK200 Tesla compatibility includes Ci5 S200; current retailer bundle explicitly lists Model 3 Highland 09/2023-today</t>
        </is>
      </c>
      <c r="C18" s="15" t="inlineStr">
        <is>
          <t>Official CFMK200/100/20 Tesla family + current Highland i7 install examples</t>
        </is>
      </c>
      <c r="D18" s="15" t="inlineStr">
        <is>
          <t>Strong evidence for core front fit. Rear/parcel/headliner are still SOP9 position-specific verification items.</t>
        </is>
      </c>
    </row>
    <row r="19">
      <c r="A19" s="15" t="inlineStr">
        <is>
          <t>Sound priority</t>
        </is>
      </c>
      <c r="B19" s="15" t="inlineStr">
        <is>
          <t>Best value / dynamics / shallow packaging</t>
        </is>
      </c>
      <c r="C19" s="15" t="inlineStr">
        <is>
          <t>Highest resolution / tonal refinement / high-end i7 construction</t>
        </is>
      </c>
      <c r="D19" s="15" t="inlineStr">
        <is>
          <t>i7 is the no-compromise sound choice.</t>
        </is>
      </c>
    </row>
    <row r="20">
      <c r="A20" s="15" t="inlineStr">
        <is>
          <t>Install complexity</t>
        </is>
      </c>
      <c r="B20" s="15" t="inlineStr">
        <is>
          <t>Higher — multiple CFMK80-100 + CFMK100 layers</t>
        </is>
      </c>
      <c r="C20" s="15" t="inlineStr">
        <is>
          <t>Lower in 100mm positions — native Ci7 M100 FlexMount100</t>
        </is>
      </c>
      <c r="D20" s="15" t="inlineStr">
        <is>
          <t>Both still need custom SOP9 work for added PAUDIO locations.</t>
        </is>
      </c>
    </row>
    <row r="21">
      <c r="A21" s="15" t="inlineStr">
        <is>
          <t>Best choice if…</t>
        </is>
      </c>
      <c r="B21" s="15" t="inlineStr">
        <is>
          <t>You want full HELIX/V EIGHTEEN architecture while controlling cost</t>
        </is>
      </c>
      <c r="C21" s="15" t="inlineStr">
        <is>
          <t>You value the best cabin resolution and are comfortable with ~€750 extra before install</t>
        </is>
      </c>
      <c r="D21" s="15" t="inlineStr">
        <is>
          <t>My current value recommendation: i5-priority; premium recommendation: i7-priority.</t>
        </is>
      </c>
    </row>
    <row r="22">
      <c r="A22" s="15" t="inlineStr">
        <is>
          <t>Existing subs</t>
        </is>
      </c>
      <c r="B22" s="15" t="inlineStr">
        <is>
          <t>Pioneer TS-WX1220AH donor hardware retained</t>
        </is>
      </c>
      <c r="C22" s="15" t="inlineStr">
        <is>
          <t>Pioneer TS-WX1220AH donor hardware retained</t>
        </is>
      </c>
      <c r="D22" s="15" t="inlineStr">
        <is>
          <t>No HELIX sub purchase included; Pioneer 15.1V power gate remains.</t>
        </is>
      </c>
    </row>
    <row r="23">
      <c r="A23" s="15" t="inlineStr">
        <is>
          <t>TBD / excluded</t>
        </is>
      </c>
      <c r="B23" s="15" t="inlineStr">
        <is>
          <t>Power cable/fusing, final interposer, custom pigtails/adapters, damping, shipping, Pioneer regulation</t>
        </is>
      </c>
      <c r="C23" s="15" t="inlineStr">
        <is>
          <t>Same</t>
        </is>
      </c>
      <c r="D23" s="15" t="inlineStr">
        <is>
          <t>These can materially increase final installed cost.</t>
        </is>
      </c>
    </row>
    <row r="25">
      <c r="A25" s="99" t="inlineStr">
        <is>
          <t>CURRENT INTERPRETATION</t>
        </is>
      </c>
    </row>
    <row r="26" ht="62" customHeight="1">
      <c r="A26" s="107" t="inlineStr">
        <is>
          <t>V EIGHTEEN is the correct HELIX DSP/amplifier for the 15-speaker target. i5-priority is the rational price/performance configuration; i7-priority buys higher-end i7 woofer/midrange construction and simpler native 100mm mounting, but costs about €750 more in currently priced hardware. Neither scenario is purchase-ready until the SOP9 added-position mounts/pigtails and power architecture are physically verified.</t>
        </is>
      </c>
    </row>
    <row r="28">
      <c r="A28" s="99" t="inlineStr">
        <is>
          <t>NEW BUDGET FINDING — DE / BE / FR SEARCH</t>
        </is>
      </c>
    </row>
    <row r="29">
      <c r="A29" s="15" t="inlineStr">
        <is>
          <t>V EIGHTEEN + Ci3 Highland budget basket</t>
        </is>
      </c>
      <c r="B29" s="15" t="inlineStr">
        <is>
          <t>≈ €3,611.98</t>
        </is>
      </c>
      <c r="C29" s="15" t="inlineStr">
        <is>
          <t>Best long-term new route</t>
        </is>
      </c>
      <c r="D29" s="15" t="inlineStr">
        <is>
          <t>Only ~€91 more than split V EIGHT + 206 DIRECT; true 18/20-channel future-proof core.</t>
        </is>
      </c>
    </row>
    <row r="30">
      <c r="A30" s="15" t="inlineStr">
        <is>
          <t>NEXT V EIGHT ULTIMATE + 206 DIRECT</t>
        </is>
      </c>
      <c r="B30" s="15" t="inlineStr">
        <is>
          <t>≈ €3,520.98</t>
        </is>
      </c>
      <c r="C30" s="15" t="inlineStr">
        <is>
          <t>Best new route closest to €3,500</t>
        </is>
      </c>
      <c r="D30" s="15" t="inlineStr">
        <is>
          <t>14 DSP channels exactly match 13 passive-front cabin feeds + Pioneer sub.</t>
        </is>
      </c>
    </row>
    <row r="31">
      <c r="A31" s="15" t="inlineStr">
        <is>
          <t>V TWELVE + 204 DIRECT</t>
        </is>
      </c>
      <c r="B31" s="15" t="inlineStr">
        <is>
          <t>≈ €3,550.98</t>
        </is>
      </c>
      <c r="C31" s="15" t="inlineStr">
        <is>
          <t>Best 12-channel + small-amp route</t>
        </is>
      </c>
      <c r="D31" s="15" t="inlineStr">
        <is>
          <t>Can buy V TWELVE first at ≈€3,311.98 and add 204 later.</t>
        </is>
      </c>
    </row>
    <row r="32">
      <c r="A32" s="15" t="inlineStr">
        <is>
          <t>Used V TWELVE €1,050 + 204 DIRECT</t>
        </is>
      </c>
      <c r="B32" s="15" t="inlineStr">
        <is>
          <t>≈ €3,101.98</t>
        </is>
      </c>
      <c r="C32" s="15" t="inlineStr">
        <is>
          <t>Best current cost route if used is accepted</t>
        </is>
      </c>
      <c r="D32" s="15" t="inlineStr">
        <is>
          <t>Leaves budget for install materials; transient private listing.</t>
        </is>
      </c>
    </row>
    <row r="33">
      <c r="A33" s="15" t="inlineStr">
        <is>
          <t>V TWELVE + 206 DSP</t>
        </is>
      </c>
      <c r="B33" s="15" t="inlineStr">
        <is>
          <t>≈ €3,910.98</t>
        </is>
      </c>
      <c r="C33" s="15" t="inlineStr">
        <is>
          <t>Best second-DSP staged route</t>
        </is>
      </c>
      <c r="D33" s="15" t="inlineStr">
        <is>
          <t>15 independent cabin amp feeds possible, but two DSPs are more complex than V EIGHTEEN.</t>
        </is>
      </c>
    </row>
    <row r="35">
      <c r="A35" s="101" t="inlineStr">
        <is>
          <t>v1.8 supplier / sourcing update — 2026-09-10</t>
        </is>
      </c>
    </row>
    <row r="37">
      <c r="A37" s="76" t="inlineStr">
        <is>
          <t>Route / decision</t>
        </is>
      </c>
      <c r="B37" s="76" t="inlineStr">
        <is>
          <t>Known €</t>
        </is>
      </c>
      <c r="C37" s="76" t="inlineStr">
        <is>
          <t>Benefit</t>
        </is>
      </c>
      <c r="D37" s="76" t="inlineStr">
        <is>
          <t>Trade-off</t>
        </is>
      </c>
      <c r="E37" s="76" t="inlineStr">
        <is>
          <t>Current recommendation</t>
        </is>
      </c>
    </row>
    <row r="38">
      <c r="A38" s="120" t="inlineStr">
        <is>
          <t>V EIGHTEEN + value Full-15</t>
        </is>
      </c>
      <c r="B38" s="123">
        <f>'Supplier_Stage_Plan'!C8</f>
        <v/>
      </c>
      <c r="C38" s="120" t="inlineStr">
        <is>
          <t>18 amp / 20 DSP; one-box 15-channel end state</t>
        </is>
      </c>
      <c r="D38" s="120" t="inlineStr">
        <is>
          <t>Higher upfront amp cost</t>
        </is>
      </c>
      <c r="E38" s="120" t="inlineStr">
        <is>
          <t>CURRENT LEAD</t>
        </is>
      </c>
    </row>
    <row r="39">
      <c r="A39" s="120" t="inlineStr">
        <is>
          <t>V EIGHTEEN Core-Music-9 now</t>
        </is>
      </c>
      <c r="B39" s="123">
        <f>'Supplier_Stage_Plan'!C5</f>
        <v/>
      </c>
      <c r="C39" s="120" t="inlineStr">
        <is>
          <t>Spend first on positions Schut considers musically relevant</t>
        </is>
      </c>
      <c r="D39" s="120" t="inlineStr">
        <is>
          <t>6 effect/immersion positions deferred</t>
        </is>
      </c>
      <c r="E39" s="120" t="inlineStr">
        <is>
          <t>BEST STAGED START</t>
        </is>
      </c>
    </row>
    <row r="40">
      <c r="A40" s="120" t="inlineStr">
        <is>
          <t>NEXT V EIGHT + 206 DIRECT</t>
        </is>
      </c>
      <c r="B40" s="123">
        <f>'HELIX_Budget_Routes'!L6</f>
        <v/>
      </c>
      <c r="C40" s="120" t="inlineStr">
        <is>
          <t>Near budget, modern split architecture</t>
        </is>
      </c>
      <c r="D40" s="120" t="inlineStr">
        <is>
          <t>Second amp; 14 central DSP outputs</t>
        </is>
      </c>
      <c r="E40" s="120" t="inlineStr">
        <is>
          <t>ALTERNATIVE</t>
        </is>
      </c>
    </row>
    <row r="41">
      <c r="A41" s="120" t="inlineStr">
        <is>
          <t>V TWELVE + 204 DIRECT</t>
        </is>
      </c>
      <c r="B41" s="123">
        <f>'HELIX_Budget_Routes'!L7</f>
        <v/>
      </c>
      <c r="C41" s="120" t="inlineStr">
        <is>
          <t>Staged 12-channel path</t>
        </is>
      </c>
      <c r="D41" s="120" t="inlineStr">
        <is>
          <t>More boxes for similar final spend</t>
        </is>
      </c>
      <c r="E41" s="120" t="inlineStr">
        <is>
          <t>ALTERNATIVE</t>
        </is>
      </c>
    </row>
    <row r="42">
      <c r="A42" s="120" t="inlineStr">
        <is>
          <t>BOXMORE BXS high-end subset</t>
        </is>
      </c>
      <c r="B42" s="123">
        <f>'Speaker_Sourcing_NL_DE'!F15</f>
        <v/>
      </c>
      <c r="C42" s="120" t="inlineStr">
        <is>
          <t>Potential high-end speaker saving in NL/BE</t>
        </is>
      </c>
      <c r="D42" s="120" t="inlineStr">
        <is>
          <t>Not proven identical to exact HELIX i7 SKUs / Tesla adapters</t>
        </is>
      </c>
      <c r="E42" s="120" t="inlineStr">
        <is>
          <t>VERIFY PER SKU</t>
        </is>
      </c>
    </row>
  </sheetData>
  <mergeCells count="6">
    <mergeCell ref="A1:D1"/>
    <mergeCell ref="A35:D35"/>
    <mergeCell ref="A26:D26"/>
    <mergeCell ref="A25:D25"/>
    <mergeCell ref="A2:D2"/>
    <mergeCell ref="A28:D2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37"/>
  <sheetViews>
    <sheetView showGridLines="0" workbookViewId="0">
      <pane ySplit="4" topLeftCell="A5" activePane="bottomLeft" state="frozen"/>
      <selection pane="bottomLeft" activeCell="A1" sqref="A1"/>
    </sheetView>
  </sheetViews>
  <sheetFormatPr baseColWidth="8" defaultRowHeight="15"/>
  <cols>
    <col width="16" customWidth="1" min="1" max="1"/>
    <col width="31" customWidth="1" min="2" max="2"/>
    <col width="10" customWidth="1" min="3" max="3"/>
    <col width="10" customWidth="1" min="4" max="4"/>
    <col width="11" customWidth="1" min="5" max="5"/>
    <col width="10" customWidth="1" min="6" max="6"/>
    <col width="15" customWidth="1" min="7" max="7"/>
    <col width="12" customWidth="1" min="8" max="8"/>
    <col width="24" customWidth="1" min="9" max="9"/>
    <col width="25" customWidth="1" min="10" max="10"/>
    <col width="32" customWidth="1" min="11" max="11"/>
    <col width="13" customWidth="1" min="12" max="12"/>
    <col width="14" customWidth="1" min="13" max="13"/>
    <col width="23" customWidth="1" min="14" max="14"/>
    <col width="40" customWidth="1" min="15" max="15"/>
    <col width="18" customWidth="1" min="16" max="16"/>
    <col width="53" customWidth="1" min="17" max="17"/>
  </cols>
  <sheetData>
    <row r="1" ht="28" customHeight="1">
      <c r="A1" s="101" t="inlineStr">
        <is>
          <t>FULL HELIX CABIN — COMPOSE i5-PRIORITY / V EIGHTEEN DSP</t>
        </is>
      </c>
    </row>
    <row r="2" ht="34" customHeight="1">
      <c r="A2" s="102" t="inlineStr">
        <is>
          <t>15 individually amplified cabin speakers + retained Pioneer TS-WX1220AH donor sub subsystem. i5-priority means i5 wherever HELIX offers the needed size; i7 T20 is retained for Tesla-specific 20mm tweeter fit, and i3 coax is used for a full-range center.</t>
        </is>
      </c>
    </row>
    <row r="4" ht="32" customHeight="1">
      <c r="A4" s="103" t="inlineStr">
        <is>
          <t>Category</t>
        </is>
      </c>
      <c r="B4" s="103" t="inlineStr">
        <is>
          <t>Item / part</t>
        </is>
      </c>
      <c r="C4" s="103" t="inlineStr">
        <is>
          <t>Series</t>
        </is>
      </c>
      <c r="D4" s="103" t="inlineStr">
        <is>
          <t>Qty packs</t>
        </is>
      </c>
      <c r="E4" s="103" t="inlineStr">
        <is>
          <t>Units / pack</t>
        </is>
      </c>
      <c r="F4" s="103" t="inlineStr">
        <is>
          <t>Units used</t>
        </is>
      </c>
      <c r="G4" s="103" t="inlineStr">
        <is>
          <t>Size / type</t>
        </is>
      </c>
      <c r="H4" s="103" t="inlineStr">
        <is>
          <t>Impedance</t>
        </is>
      </c>
      <c r="I4" s="103" t="inlineStr">
        <is>
          <t>RMS / frequency</t>
        </is>
      </c>
      <c r="J4" s="103" t="inlineStr">
        <is>
          <t>Suggested channel / role</t>
        </is>
      </c>
      <c r="K4" s="103" t="inlineStr">
        <is>
          <t>Adapter / fitment</t>
        </is>
      </c>
      <c r="L4" s="103" t="inlineStr">
        <is>
          <t>Unit price</t>
        </is>
      </c>
      <c r="M4" s="103" t="inlineStr">
        <is>
          <t>Line total</t>
        </is>
      </c>
      <c r="N4" s="103" t="inlineStr">
        <is>
          <t>Preferred shop</t>
        </is>
      </c>
      <c r="O4" s="103" t="inlineStr">
        <is>
          <t>Benefit / trade-off</t>
        </is>
      </c>
      <c r="P4" s="103" t="inlineStr">
        <is>
          <t>Fitment confidence</t>
        </is>
      </c>
      <c r="Q4" s="103" t="inlineStr">
        <is>
          <t>Source URL</t>
        </is>
      </c>
    </row>
    <row r="5">
      <c r="A5" s="108" t="inlineStr">
        <is>
          <t>DSP / control</t>
        </is>
      </c>
      <c r="B5" s="108" t="inlineStr">
        <is>
          <t>HELIX V EIGHTEEN DSP</t>
        </is>
      </c>
      <c r="C5" s="108" t="inlineStr">
        <is>
          <t>HELIX</t>
        </is>
      </c>
      <c r="D5" s="108" t="n">
        <v>1</v>
      </c>
      <c r="E5" s="108" t="n">
        <v>1</v>
      </c>
      <c r="F5" s="108" t="n">
        <v>1</v>
      </c>
      <c r="G5" s="108" t="inlineStr">
        <is>
          <t>18ch amp / 20ch DSP</t>
        </is>
      </c>
      <c r="H5" s="108" t="inlineStr">
        <is>
          <t>—</t>
        </is>
      </c>
      <c r="I5" s="108" t="inlineStr">
        <is>
          <t>CH1-12: 70W@4Ω / up to 100W@3Ω; CH13-18: 75W@4Ω / 120W@2Ω</t>
        </is>
      </c>
      <c r="J5" s="108" t="inlineStr">
        <is>
          <t>All 15 cabin channels + RCA OUT 1/2</t>
        </is>
      </c>
      <c r="K5" s="108" t="inlineStr">
        <is>
          <t>Custom SOP9 interposer on Tesla side</t>
        </is>
      </c>
      <c r="L5" s="109" t="n">
        <v>1799</v>
      </c>
      <c r="M5" s="108">
        <f>IF(ISNUMBER(L5),D5*L5,"")</f>
        <v/>
      </c>
      <c r="N5" s="108" t="inlineStr">
        <is>
          <t>CarHifi-Store Bünde (DE) · 4-day listing</t>
        </is>
      </c>
      <c r="O5" s="108" t="inlineStr">
        <is>
          <t>Only current HELIX all-in-one amplifier with enough amplified channels for 15 individual cabin speakers; 3 amplified channels remain spare.</t>
        </is>
      </c>
      <c r="P5" s="108" t="inlineStr">
        <is>
          <t>HIGH - official channel capacity</t>
        </is>
      </c>
      <c r="Q5" s="108" t="inlineStr">
        <is>
          <t>https://mbcaraudio.nl/versterkers-met-dsp/helix-v-eighteen-dsp.html</t>
        </is>
      </c>
    </row>
    <row r="6">
      <c r="A6" s="108" t="inlineStr">
        <is>
          <t>DSP / control</t>
        </is>
      </c>
      <c r="B6" s="108" t="inlineStr">
        <is>
          <t>HELIX DIRECTOR for SCP</t>
        </is>
      </c>
      <c r="C6" s="108" t="inlineStr">
        <is>
          <t>HELIX</t>
        </is>
      </c>
      <c r="D6" s="108" t="n">
        <v>1</v>
      </c>
      <c r="E6" s="108" t="n">
        <v>1</v>
      </c>
      <c r="F6" s="108" t="n">
        <v>1</v>
      </c>
      <c r="G6" s="108" t="inlineStr">
        <is>
          <t>Touchscreen remote</t>
        </is>
      </c>
      <c r="H6" s="108" t="inlineStr">
        <is>
          <t>—</t>
        </is>
      </c>
      <c r="I6" s="108" t="inlineStr">
        <is>
          <t>DSP control / presets / master / sub level</t>
        </is>
      </c>
      <c r="J6" s="108" t="inlineStr">
        <is>
          <t>SCP</t>
        </is>
      </c>
      <c r="K6" s="108" t="inlineStr">
        <is>
          <t>SCP cable supplied</t>
        </is>
      </c>
      <c r="L6" s="109" t="n">
        <v>249</v>
      </c>
      <c r="M6" s="108">
        <f>IF(ISNUMBER(L6),D6*L6,"")</f>
        <v/>
      </c>
      <c r="N6" s="108" t="inlineStr">
        <is>
          <t>ARS24 (DE/FR) · 2–3 days; NL RRP €299</t>
        </is>
      </c>
      <c r="O6" s="108" t="inlineStr">
        <is>
          <t>Requested display/controller; direct SCP integration.</t>
        </is>
      </c>
      <c r="P6" s="108" t="inlineStr">
        <is>
          <t>HIGH</t>
        </is>
      </c>
      <c r="Q6" s="108" t="inlineStr">
        <is>
          <t>https://schutcarsystems.nl/product/helix-director/</t>
        </is>
      </c>
    </row>
    <row r="7">
      <c r="A7" s="108" t="inlineStr">
        <is>
          <t>Integration</t>
        </is>
      </c>
      <c r="B7" s="108" t="inlineStr">
        <is>
          <t>MATCH PP-TES 1.7B Highland</t>
        </is>
      </c>
      <c r="C7" s="108" t="inlineStr">
        <is>
          <t>MATCH / Audiotec Fischer</t>
        </is>
      </c>
      <c r="D7" s="108" t="n">
        <v>1</v>
      </c>
      <c r="E7" s="108" t="n">
        <v>1</v>
      </c>
      <c r="F7" s="108" t="n">
        <v>1</v>
      </c>
      <c r="G7" s="108" t="inlineStr">
        <is>
          <t>Tesla no-cut harness donor</t>
        </is>
      </c>
      <c r="H7" s="108" t="inlineStr">
        <is>
          <t>—</t>
        </is>
      </c>
      <c r="I7" s="108" t="inlineStr">
        <is>
          <t>Highland standard audio / Ryzen</t>
        </is>
      </c>
      <c r="J7" s="108" t="inlineStr">
        <is>
          <t>Tesla BAUDIO → custom V EIGHTEEN interposer</t>
        </is>
      </c>
      <c r="K7" s="108" t="inlineStr">
        <is>
          <t>NOT direct V EIGHTEEN PnP; repin/adapt purchased harness only</t>
        </is>
      </c>
      <c r="L7" s="109" t="n">
        <v>129</v>
      </c>
      <c r="M7" s="108">
        <f>IF(ISNUMBER(L7),D7*L7,"")</f>
        <v/>
      </c>
      <c r="N7" s="108" t="inlineStr">
        <is>
          <t>CarHifi-Store Bünde (DE) · immediate listing</t>
        </is>
      </c>
      <c r="O7" s="108" t="inlineStr">
        <is>
          <t>Uses original Tesla connectors; vehicle loom remains untouched.</t>
        </is>
      </c>
      <c r="P7" s="108" t="inlineStr">
        <is>
          <t>HIGH as Tesla-side donor; VERIFY V18 repin</t>
        </is>
      </c>
      <c r="Q7" s="108" t="inlineStr">
        <is>
          <t>https://www.caraudio.nl/artikel/match/match-pp-tes-1-7b-highland-kabelset-voor-tesla-model-3-highland-y-juniper-met-base-audio-mapptes17bhl</t>
        </is>
      </c>
    </row>
    <row r="8">
      <c r="A8" s="108" t="inlineStr">
        <is>
          <t>Speaker</t>
        </is>
      </c>
      <c r="B8" s="108" t="inlineStr">
        <is>
          <t>Ci5 S200FM-S2</t>
        </is>
      </c>
      <c r="C8" s="108" t="inlineStr">
        <is>
          <t>i5</t>
        </is>
      </c>
      <c r="D8" s="108" t="n">
        <v>1</v>
      </c>
      <c r="E8" s="108" t="n">
        <v>2</v>
      </c>
      <c r="F8" s="108" t="n">
        <v>2</v>
      </c>
      <c r="G8" s="108" t="inlineStr">
        <is>
          <t>200 mm hybrid woofer</t>
        </is>
      </c>
      <c r="H8" s="108" t="inlineStr">
        <is>
          <t>2 Ω</t>
        </is>
      </c>
      <c r="I8" s="108" t="inlineStr">
        <is>
          <t>200W RMS / 400W max; 25–500 Hz; 47 mm depth; ±7.8 mm</t>
        </is>
      </c>
      <c r="J8" s="108" t="inlineStr">
        <is>
          <t>CH13 / CH14 REQUIRED</t>
        </is>
      </c>
      <c r="K8" s="108" t="inlineStr">
        <is>
          <t>CFMK200 TES.1</t>
        </is>
      </c>
      <c r="L8" s="109" t="n">
        <v>299</v>
      </c>
      <c r="M8" s="108">
        <f>IF(ISNUMBER(L8),D8*L8,"")</f>
        <v/>
      </c>
      <c r="N8" s="108" t="inlineStr">
        <is>
          <t>HFB Audio (DE)</t>
        </is>
      </c>
      <c r="O8" s="108" t="inlineStr">
        <is>
          <t>Very shallow, high excursion and strong low-frequency authority; excellent value. V EIGHTEEN 2Ω rating exists only on CH13-18.</t>
        </is>
      </c>
      <c r="P8" s="108" t="inlineStr">
        <is>
          <t>HIGH driver + official Tesla 200mm adapter; SOP9 connector verify</t>
        </is>
      </c>
      <c r="Q8" s="108" t="inlineStr">
        <is>
          <t>https://shop.hfb.audio/produkte-fuers-auto/lautsprecher/824/helix-ci5-s200fm-s2-20cm-tiefton-lautsprecher-mit-geringer-einbautiefe</t>
        </is>
      </c>
    </row>
    <row r="9">
      <c r="A9" s="108" t="inlineStr">
        <is>
          <t>Speaker</t>
        </is>
      </c>
      <c r="B9" s="108" t="inlineStr">
        <is>
          <t>Ci7 T20FM-SC</t>
        </is>
      </c>
      <c r="C9" s="108" t="inlineStr">
        <is>
          <t>i7 shared</t>
        </is>
      </c>
      <c r="D9" s="108" t="n">
        <v>1</v>
      </c>
      <c r="E9" s="108" t="n">
        <v>2</v>
      </c>
      <c r="F9" s="108" t="n">
        <v>2</v>
      </c>
      <c r="G9" s="108" t="inlineStr">
        <is>
          <t>20 mm silk dome tweeter</t>
        </is>
      </c>
      <c r="H9" s="108" t="inlineStr">
        <is>
          <t>4 Ω</t>
        </is>
      </c>
      <c r="I9" s="108" t="inlineStr">
        <is>
          <t>1.5–30 kHz; HP ≥2.5kHz @24dB/oct</t>
        </is>
      </c>
      <c r="J9" s="108" t="inlineStr">
        <is>
          <t>CH1 / CH2</t>
        </is>
      </c>
      <c r="K9" s="108" t="inlineStr">
        <is>
          <t>CFMK20 TES.1</t>
        </is>
      </c>
      <c r="L9" s="109" t="n">
        <v>399</v>
      </c>
      <c r="M9" s="108">
        <f>IF(ISNUMBER(L9),D9*L9,"")</f>
        <v/>
      </c>
      <c r="N9" s="108" t="inlineStr">
        <is>
          <t>CarHifi-Store Bünde (DE) · stock confirm</t>
        </is>
      </c>
      <c r="O9" s="108" t="inlineStr">
        <is>
          <t>Used in i5-priority setup because HELIX currently offers a Tesla FlexMount20 adapter but no Tesla FlexMount25 for Ci5 T25.</t>
        </is>
      </c>
      <c r="P9" s="108" t="inlineStr">
        <is>
          <t>HIGH - official Tesla adapter</t>
        </is>
      </c>
      <c r="Q9" s="108" t="inlineStr">
        <is>
          <t>https://shop.hfb.audio/produkte-fuers-auto/lautsprecher/816/helix-ci7-t20fm-sc-high-end-hochtoener</t>
        </is>
      </c>
    </row>
    <row r="10">
      <c r="A10" s="110" t="inlineStr">
        <is>
          <t>Speaker</t>
        </is>
      </c>
      <c r="B10" s="110" t="inlineStr">
        <is>
          <t>Ci5 M80FM-S3</t>
        </is>
      </c>
      <c r="C10" s="110" t="inlineStr">
        <is>
          <t>i5</t>
        </is>
      </c>
      <c r="D10" s="110" t="n">
        <v>4</v>
      </c>
      <c r="E10" s="110" t="n">
        <v>2</v>
      </c>
      <c r="F10" s="110" t="n">
        <v>8</v>
      </c>
      <c r="G10" s="110" t="inlineStr">
        <is>
          <t>80 mm midrange</t>
        </is>
      </c>
      <c r="H10" s="110" t="inlineStr">
        <is>
          <t>3 Ω</t>
        </is>
      </c>
      <c r="I10" s="110" t="inlineStr">
        <is>
          <t>90W RMS / 135W max; 200–6000 Hz</t>
        </is>
      </c>
      <c r="J10" s="110" t="inlineStr">
        <is>
          <t>CH3, CH5-CH11</t>
        </is>
      </c>
      <c r="K10" s="110" t="inlineStr">
        <is>
          <t>Direct at X570/X580; CFMK80-100 + CFMK100 TES.1 planned for 100mm-class positions</t>
        </is>
      </c>
      <c r="L10" s="111" t="n">
        <v>199</v>
      </c>
      <c r="M10" s="110">
        <f>IF(ISNUMBER(L10),D10*L10,"")</f>
        <v/>
      </c>
      <c r="N10" s="110" t="inlineStr">
        <is>
          <t>CarHifi-Store Bünde (DE) · immediate listing</t>
        </is>
      </c>
      <c r="O10" s="110" t="inlineStr">
        <is>
          <t>Compact, efficient and much cheaper than i7 M100. Requires more adapter layers in the 100mm positions.</t>
        </is>
      </c>
      <c r="P10" s="110" t="inlineStr">
        <is>
          <t>VERIFY rear/parcel/dashboard physical mounts on SOP9</t>
        </is>
      </c>
      <c r="Q10" s="110" t="inlineStr">
        <is>
          <t>https://shop.hfb.audio/produkte-fuers-auto/lautsprecher/1098/helix-ci5-m80fm-s3-8cm-mitteltoener</t>
        </is>
      </c>
    </row>
    <row r="11">
      <c r="A11" s="108" t="inlineStr">
        <is>
          <t>Speaker</t>
        </is>
      </c>
      <c r="B11" s="108" t="inlineStr">
        <is>
          <t>Ci3 C100.2FM-S3 MK2</t>
        </is>
      </c>
      <c r="C11" s="108" t="inlineStr">
        <is>
          <t>i3 center</t>
        </is>
      </c>
      <c r="D11" s="108" t="n">
        <v>1</v>
      </c>
      <c r="E11" s="108" t="n">
        <v>2</v>
      </c>
      <c r="F11" s="108" t="n">
        <v>1</v>
      </c>
      <c r="G11" s="108" t="inlineStr">
        <is>
          <t>100 mm 2-way coax center</t>
        </is>
      </c>
      <c r="H11" s="108" t="inlineStr">
        <is>
          <t>3 Ω</t>
        </is>
      </c>
      <c r="I11" s="108" t="inlineStr">
        <is>
          <t>80W RMS / 120W max; 100–25kHz</t>
        </is>
      </c>
      <c r="J11" s="108" t="inlineStr">
        <is>
          <t>CH4 center</t>
        </is>
      </c>
      <c r="K11" s="108" t="inlineStr">
        <is>
          <t>CFMK100 TES.1; one spare speaker remains</t>
        </is>
      </c>
      <c r="L11" s="109" t="n">
        <v>199</v>
      </c>
      <c r="M11" s="108">
        <f>IF(ISNUMBER(L11),D11*L11,"")</f>
        <v/>
      </c>
      <c r="N11" s="108" t="inlineStr">
        <is>
          <t>HFB Audio (DE)</t>
        </is>
      </c>
      <c r="O11" s="108" t="inlineStr">
        <is>
          <t>Full-range coax center is more appropriate than forcing an i7 M100 mid-only driver into the center. Mirrors the philosophy of the current Highland soundXTREME i7 front + i3 center package.</t>
        </is>
      </c>
      <c r="P11" s="108" t="inlineStr">
        <is>
          <t>HIGH driver/adapter family; position verify</t>
        </is>
      </c>
      <c r="Q11" s="108" t="inlineStr">
        <is>
          <t>https://shop.hfb.audio/produkte-fuers-auto/lautsprecher/1063/helix-ci3-c100.2fm-s3-mk2</t>
        </is>
      </c>
    </row>
    <row r="12">
      <c r="A12" s="110" t="inlineStr">
        <is>
          <t>Speaker</t>
        </is>
      </c>
      <c r="B12" s="110" t="inlineStr">
        <is>
          <t>Ci5 M50FM-S3</t>
        </is>
      </c>
      <c r="C12" s="110" t="inlineStr">
        <is>
          <t>i5</t>
        </is>
      </c>
      <c r="D12" s="110" t="n">
        <v>1</v>
      </c>
      <c r="E12" s="110" t="n">
        <v>2</v>
      </c>
      <c r="F12" s="110" t="n">
        <v>2</v>
      </c>
      <c r="G12" s="110" t="inlineStr">
        <is>
          <t>50 mm wideband</t>
        </is>
      </c>
      <c r="H12" s="110" t="inlineStr">
        <is>
          <t>3 Ω</t>
        </is>
      </c>
      <c r="I12" s="110" t="inlineStr">
        <is>
          <t>70W RMS / 100W max; 300–20kHz</t>
        </is>
      </c>
      <c r="J12" s="110" t="inlineStr">
        <is>
          <t>CH12 / CH15 headliners</t>
        </is>
      </c>
      <c r="K12" s="110" t="inlineStr">
        <is>
          <t>FlexMount50 universal included; SOP9 custom mount/pigtail TBD</t>
        </is>
      </c>
      <c r="L12" s="111" t="n">
        <v>169</v>
      </c>
      <c r="M12" s="110">
        <f>IF(ISNUMBER(L12),D12*L12,"")</f>
        <v/>
      </c>
      <c r="N12" s="110" t="inlineStr">
        <is>
          <t>CarHifi-Store Bünde (DE) · immediate listing</t>
        </is>
      </c>
      <c r="O12" s="110" t="inlineStr">
        <is>
          <t>Compact true wideband solution for PAUDIO-only headliner positions.</t>
        </is>
      </c>
      <c r="P12" s="110" t="inlineStr">
        <is>
          <t>VERIFY custom SOP9 headliner fit/pigtail</t>
        </is>
      </c>
      <c r="Q12" s="110" t="inlineStr">
        <is>
          <t>https://shop.hfb.audio/produkte-fuers-auto/lautsprecher/1097/helix-ci5-m50fm-s3-5cm-breitbaender-bzw.-mitteltoener</t>
        </is>
      </c>
    </row>
    <row r="13">
      <c r="A13" s="108" t="inlineStr">
        <is>
          <t>Adapter</t>
        </is>
      </c>
      <c r="B13" s="108" t="inlineStr">
        <is>
          <t>CFMK200 TES.1 (FDM)</t>
        </is>
      </c>
      <c r="C13" s="108" t="inlineStr">
        <is>
          <t>FlexMount</t>
        </is>
      </c>
      <c r="D13" s="108" t="n">
        <v>1</v>
      </c>
      <c r="E13" s="108" t="n">
        <v>2</v>
      </c>
      <c r="F13" s="108" t="n">
        <v>2</v>
      </c>
      <c r="G13" s="108" t="inlineStr">
        <is>
          <t>200 mm Tesla Model 3 pair</t>
        </is>
      </c>
      <c r="H13" s="108" t="inlineStr">
        <is>
          <t>—</t>
        </is>
      </c>
      <c r="I13" s="108" t="inlineStr">
        <is>
          <t>Official compatible with Ci5 S200FM-S2 / Ci7 W200FM-S3</t>
        </is>
      </c>
      <c r="J13" s="108" t="inlineStr">
        <is>
          <t>Front woofer mounts</t>
        </is>
      </c>
      <c r="K13" s="108" t="inlineStr">
        <is>
          <t>Tesla Model 3 original woofer position</t>
        </is>
      </c>
      <c r="L13" s="109" t="n">
        <v>99</v>
      </c>
      <c r="M13" s="108">
        <f>IF(ISNUMBER(L13),D13*L13,"")</f>
        <v/>
      </c>
      <c r="N13" s="108" t="inlineStr">
        <is>
          <t>Caraudio-Store.de (DE)</t>
        </is>
      </c>
      <c r="O13" s="108" t="inlineStr">
        <is>
          <t>Official vehicle-specific 200mm adapter family.</t>
        </is>
      </c>
      <c r="P13" s="108" t="inlineStr">
        <is>
          <t>HIGH family fit; confirm Highland connector/pigtail</t>
        </is>
      </c>
      <c r="Q13" s="108" t="inlineStr">
        <is>
          <t>https://www.caraudio-store.de/Helix_s11</t>
        </is>
      </c>
    </row>
    <row r="14">
      <c r="A14" s="108" t="inlineStr">
        <is>
          <t>Adapter</t>
        </is>
      </c>
      <c r="B14" s="108" t="inlineStr">
        <is>
          <t>CFMK20 TES.1</t>
        </is>
      </c>
      <c r="C14" s="108" t="inlineStr">
        <is>
          <t>FlexMount</t>
        </is>
      </c>
      <c r="D14" s="108" t="n">
        <v>1</v>
      </c>
      <c r="E14" s="108" t="n">
        <v>2</v>
      </c>
      <c r="F14" s="108" t="n">
        <v>2</v>
      </c>
      <c r="G14" s="108" t="inlineStr">
        <is>
          <t>20 mm Tesla tweeter pair</t>
        </is>
      </c>
      <c r="H14" s="108" t="inlineStr">
        <is>
          <t>—</t>
        </is>
      </c>
      <c r="I14" s="108" t="inlineStr">
        <is>
          <t>Compatible with Ci7 T20FM-SC</t>
        </is>
      </c>
      <c r="J14" s="108" t="inlineStr">
        <is>
          <t>Front tweeters</t>
        </is>
      </c>
      <c r="K14" s="108" t="inlineStr">
        <is>
          <t>Tesla factory tweeter mount</t>
        </is>
      </c>
      <c r="L14" s="109" t="n">
        <v>15.7</v>
      </c>
      <c r="M14" s="108">
        <f>IF(ISNUMBER(L14),D14*L14,"")</f>
        <v/>
      </c>
      <c r="N14" s="108" t="inlineStr">
        <is>
          <t>CarFeature (DE)</t>
        </is>
      </c>
      <c r="O14" s="108" t="inlineStr">
        <is>
          <t>Avoids custom tweeter fabrication.</t>
        </is>
      </c>
      <c r="P14" s="108" t="inlineStr">
        <is>
          <t>HIGH - official Tesla adapter</t>
        </is>
      </c>
      <c r="Q14" s="108" t="inlineStr">
        <is>
          <t>https://www.carfeature.de/de/hifi-navigation/zubehoer/lautsprecherringe/fuer-einbau/25934/helix-cfmk20-tes.1-adapterringe-fuer-tesla</t>
        </is>
      </c>
    </row>
    <row r="15">
      <c r="A15" s="110" t="inlineStr">
        <is>
          <t>Adapter</t>
        </is>
      </c>
      <c r="B15" s="110" t="inlineStr">
        <is>
          <t>CFMK100 TES.1</t>
        </is>
      </c>
      <c r="C15" s="110" t="inlineStr">
        <is>
          <t>FlexMount</t>
        </is>
      </c>
      <c r="D15" s="110" t="n">
        <v>4</v>
      </c>
      <c r="E15" s="110" t="n">
        <v>2</v>
      </c>
      <c r="F15" s="110" t="n">
        <v>7</v>
      </c>
      <c r="G15" s="110" t="inlineStr">
        <is>
          <t>100 mm Tesla adapter pair</t>
        </is>
      </c>
      <c r="H15" s="110" t="inlineStr">
        <is>
          <t>—</t>
        </is>
      </c>
      <c r="I15" s="110" t="inlineStr">
        <is>
          <t>Tesla FlexConnect inlay B included</t>
        </is>
      </c>
      <c r="J15" s="110" t="inlineStr">
        <is>
          <t>Dash L/R + center + rear L/R + parcel L/R</t>
        </is>
      </c>
      <c r="K15" s="110" t="inlineStr">
        <is>
          <t>One adapter remains spare</t>
        </is>
      </c>
      <c r="L15" s="111" t="n">
        <v>19.99</v>
      </c>
      <c r="M15" s="110">
        <f>IF(ISNUMBER(L15),D15*L15,"")</f>
        <v/>
      </c>
      <c r="N15" s="110" t="inlineStr">
        <is>
          <t>CarHifi-Store Bünde (DE)</t>
        </is>
      </c>
      <c r="O15" s="110" t="inlineStr">
        <is>
          <t>Tesla-specific 100mm interface. In i5 setup most locations also need CFMK80-100.</t>
        </is>
      </c>
      <c r="P15" s="110" t="inlineStr">
        <is>
          <t>VERIFY exact SOP9 rear/parcel mount geometry</t>
        </is>
      </c>
      <c r="Q15" s="110" t="inlineStr">
        <is>
          <t>https://www.carhifi-store-buende.de/helix-flexmount-cfmk100-tes.1</t>
        </is>
      </c>
    </row>
    <row r="16">
      <c r="A16" s="108" t="inlineStr">
        <is>
          <t>Adapter</t>
        </is>
      </c>
      <c r="B16" s="108" t="inlineStr">
        <is>
          <t>CFMK80-100</t>
        </is>
      </c>
      <c r="C16" s="108" t="inlineStr">
        <is>
          <t>FlexMount</t>
        </is>
      </c>
      <c r="D16" s="108" t="n">
        <v>3</v>
      </c>
      <c r="E16" s="108" t="n">
        <v>2</v>
      </c>
      <c r="F16" s="108" t="n">
        <v>6</v>
      </c>
      <c r="G16" s="108" t="inlineStr">
        <is>
          <t>80→100 mm adapter pair</t>
        </is>
      </c>
      <c r="H16" s="108" t="inlineStr">
        <is>
          <t>—</t>
        </is>
      </c>
      <c r="I16" s="108" t="inlineStr">
        <is>
          <t>Ci5 M80FM-S3 → FlexMount100</t>
        </is>
      </c>
      <c r="J16" s="108" t="inlineStr">
        <is>
          <t>Dash L/R + rear L/R + parcel L/R</t>
        </is>
      </c>
      <c r="K16" s="108" t="inlineStr">
        <is>
          <t>Used together with CFMK100 TES.1</t>
        </is>
      </c>
      <c r="L16" s="109" t="n">
        <v>19.99</v>
      </c>
      <c r="M16" s="108">
        <f>IF(ISNUMBER(L16),D16*L16,"")</f>
        <v/>
      </c>
      <c r="N16" s="108" t="inlineStr">
        <is>
          <t>Just-Sound (DE)</t>
        </is>
      </c>
      <c r="O16" s="108" t="inlineStr">
        <is>
          <t>Enables i5 M80 value route in 100mm positions.</t>
        </is>
      </c>
      <c r="P16" s="108" t="inlineStr">
        <is>
          <t>HIGH adapter compatibility; vehicle position verify</t>
        </is>
      </c>
      <c r="Q16" s="108" t="inlineStr">
        <is>
          <t>https://just-sound.de/HELIX-CFMK80-100-FlexMount80-100-Adapterringe</t>
        </is>
      </c>
    </row>
    <row r="17">
      <c r="A17" s="112" t="inlineStr">
        <is>
          <t>Existing hardware</t>
        </is>
      </c>
      <c r="B17" s="112" t="inlineStr">
        <is>
          <t>Pioneer TS-WX1220AH donor subsystem</t>
        </is>
      </c>
      <c r="C17" s="112" t="inlineStr">
        <is>
          <t>Pioneer retained</t>
        </is>
      </c>
      <c r="D17" s="112" t="n">
        <v>1</v>
      </c>
      <c r="E17" s="112" t="n">
        <v>1</v>
      </c>
      <c r="F17" s="112" t="n">
        <v>1</v>
      </c>
      <c r="G17" s="112" t="inlineStr">
        <is>
          <t>2×12in donor drivers + original amp</t>
        </is>
      </c>
      <c r="H17" s="112" t="inlineStr">
        <is>
          <t>—</t>
        </is>
      </c>
      <c r="I17" s="112" t="inlineStr">
        <is>
          <t>Existing hardware; custom lower-trunk baffle</t>
        </is>
      </c>
      <c r="J17" s="112" t="inlineStr">
        <is>
          <t>V EIGHTEEN processed RCA OUT 1/2 → Pioneer amp</t>
        </is>
      </c>
      <c r="K17" s="112" t="inlineStr">
        <is>
          <t>Pioneer LV compatibility gate remains</t>
        </is>
      </c>
      <c r="L17" s="113" t="n">
        <v>0</v>
      </c>
      <c r="M17" s="112">
        <f>IF(ISNUMBER(L17),D17*L17,"")</f>
        <v/>
      </c>
      <c r="N17" s="112" t="inlineStr">
        <is>
          <t>Already owned</t>
        </is>
      </c>
      <c r="O17" s="112" t="inlineStr">
        <is>
          <t>Retains existing sub hardware; no new sub purchase.</t>
        </is>
      </c>
      <c r="P17" s="112" t="inlineStr">
        <is>
          <t>BLOCKER - verify/regulate Pioneer 15.1V max supply</t>
        </is>
      </c>
      <c r="Q17" s="112" t="inlineStr">
        <is>
          <t>https://pioneer-car.eu/ts-wx1220ah/ts-wx1220ah</t>
        </is>
      </c>
    </row>
    <row r="18">
      <c r="A18" s="110" t="inlineStr">
        <is>
          <t>TBD integration</t>
        </is>
      </c>
      <c r="B18" s="110" t="inlineStr">
        <is>
          <t>Front-door 80 mm SOP9 mount / pigtail verification</t>
        </is>
      </c>
      <c r="C18" s="110" t="inlineStr">
        <is>
          <t>Custom</t>
        </is>
      </c>
      <c r="D18" s="110" t="n">
        <v>1</v>
      </c>
      <c r="E18" s="110" t="n">
        <v>1</v>
      </c>
      <c r="F18" s="110" t="n">
        <v>1</v>
      </c>
      <c r="G18" s="110" t="inlineStr">
        <is>
          <t>Mount / pigtail</t>
        </is>
      </c>
      <c r="H18" s="110" t="inlineStr">
        <is>
          <t>—</t>
        </is>
      </c>
      <c r="I18" s="110" t="inlineStr">
        <is>
          <t>TBD</t>
        </is>
      </c>
      <c r="J18" s="110" t="inlineStr">
        <is>
          <t>X570 / X580</t>
        </is>
      </c>
      <c r="K18" s="110" t="inlineStr">
        <is>
          <t>Physical proof required before order</t>
        </is>
      </c>
      <c r="L18" s="110" t="n"/>
      <c r="M18" s="110">
        <f>IF(ISNUMBER(L18),D18*L18,"")</f>
        <v/>
      </c>
      <c r="N18" s="110" t="inlineStr">
        <is>
          <t>TBD NL/DE</t>
        </is>
      </c>
      <c r="O18" s="110" t="inlineStr">
        <is>
          <t>Not included in known total.</t>
        </is>
      </c>
      <c r="P18" s="110" t="inlineStr">
        <is>
          <t>VERIFY</t>
        </is>
      </c>
      <c r="Q18" s="110" t="inlineStr"/>
    </row>
    <row r="19">
      <c r="A19" s="110" t="inlineStr">
        <is>
          <t>TBD integration</t>
        </is>
      </c>
      <c r="B19" s="110" t="inlineStr">
        <is>
          <t>Headliner 50 mm SOP9 mount / pigtail</t>
        </is>
      </c>
      <c r="C19" s="110" t="inlineStr">
        <is>
          <t>Custom</t>
        </is>
      </c>
      <c r="D19" s="110" t="n">
        <v>1</v>
      </c>
      <c r="E19" s="110" t="n">
        <v>1</v>
      </c>
      <c r="F19" s="110" t="n">
        <v>1</v>
      </c>
      <c r="G19" s="110" t="inlineStr">
        <is>
          <t>Mount / pigtail</t>
        </is>
      </c>
      <c r="H19" s="110" t="inlineStr">
        <is>
          <t>—</t>
        </is>
      </c>
      <c r="I19" s="110" t="inlineStr">
        <is>
          <t>TBD</t>
        </is>
      </c>
      <c r="J19" s="110" t="inlineStr">
        <is>
          <t>X569 / X579</t>
        </is>
      </c>
      <c r="K19" s="110" t="inlineStr">
        <is>
          <t>PAUDIO-only added positions</t>
        </is>
      </c>
      <c r="L19" s="110" t="n"/>
      <c r="M19" s="110">
        <f>IF(ISNUMBER(L19),D19*L19,"")</f>
        <v/>
      </c>
      <c r="N19" s="110" t="inlineStr">
        <is>
          <t>TBD NL/DE</t>
        </is>
      </c>
      <c r="O19" s="110" t="inlineStr">
        <is>
          <t>Not included in known total.</t>
        </is>
      </c>
      <c r="P19" s="110" t="inlineStr">
        <is>
          <t>VERIFY</t>
        </is>
      </c>
      <c r="Q19" s="110" t="inlineStr"/>
    </row>
    <row r="20">
      <c r="A20" s="110" t="inlineStr">
        <is>
          <t>TBD integration</t>
        </is>
      </c>
      <c r="B20" s="110" t="inlineStr">
        <is>
          <t>V EIGHTEEN power / fuse / OFC / distribution</t>
        </is>
      </c>
      <c r="C20" s="110" t="inlineStr">
        <is>
          <t>Install material</t>
        </is>
      </c>
      <c r="D20" s="110" t="n">
        <v>1</v>
      </c>
      <c r="E20" s="110" t="n">
        <v>1</v>
      </c>
      <c r="F20" s="110" t="n">
        <v>1</v>
      </c>
      <c r="G20" s="110" t="inlineStr">
        <is>
          <t>Power integration</t>
        </is>
      </c>
      <c r="H20" s="110" t="inlineStr">
        <is>
          <t>—</t>
        </is>
      </c>
      <c r="I20" s="110" t="inlineStr">
        <is>
          <t>V EIGHTEEN: 10.5–18V, 108A max rating, 3×30A internal fuses</t>
        </is>
      </c>
      <c r="J20" s="110" t="inlineStr">
        <is>
          <t>Tesla LV → V EIGHTEEN</t>
        </is>
      </c>
      <c r="K20" s="110" t="inlineStr">
        <is>
          <t>Engineer final cable/fuse topology</t>
        </is>
      </c>
      <c r="L20" s="110" t="n"/>
      <c r="M20" s="110">
        <f>IF(ISNUMBER(L20),D20*L20,"")</f>
        <v/>
      </c>
      <c r="N20" s="110" t="inlineStr">
        <is>
          <t>TBD NL/DE</t>
        </is>
      </c>
      <c r="O20" s="110" t="inlineStr">
        <is>
          <t>Not included in known total.</t>
        </is>
      </c>
      <c r="P20" s="110" t="inlineStr">
        <is>
          <t>VERIFY</t>
        </is>
      </c>
      <c r="Q20" s="110" t="inlineStr">
        <is>
          <t>https://www.audiotec-fischer.de/en/helix/amplifiers/v-eighteen-dsp</t>
        </is>
      </c>
    </row>
    <row r="21">
      <c r="A21" s="112" t="inlineStr">
        <is>
          <t>TBD integration</t>
        </is>
      </c>
      <c r="B21" s="112" t="inlineStr">
        <is>
          <t>Pioneer voltage compatibility / regulation</t>
        </is>
      </c>
      <c r="C21" s="112" t="inlineStr">
        <is>
          <t>Power gate</t>
        </is>
      </c>
      <c r="D21" s="112" t="n">
        <v>1</v>
      </c>
      <c r="E21" s="112" t="n">
        <v>1</v>
      </c>
      <c r="F21" s="112" t="n">
        <v>1</v>
      </c>
      <c r="G21" s="112" t="inlineStr">
        <is>
          <t>High-current DC-DC if required</t>
        </is>
      </c>
      <c r="H21" s="112" t="inlineStr">
        <is>
          <t>—</t>
        </is>
      </c>
      <c r="I21" s="112" t="inlineStr">
        <is>
          <t>Pioneer max 15.1V vs Tesla published 15.5V</t>
        </is>
      </c>
      <c r="J21" s="112" t="inlineStr">
        <is>
          <t>Tesla LV → Pioneer amp</t>
        </is>
      </c>
      <c r="K21" s="112" t="inlineStr">
        <is>
          <t>Do not connect directly until verified</t>
        </is>
      </c>
      <c r="L21" s="112" t="n"/>
      <c r="M21" s="112">
        <f>IF(ISNUMBER(L21),D21*L21,"")</f>
        <v/>
      </c>
      <c r="N21" s="112" t="inlineStr">
        <is>
          <t>TBD</t>
        </is>
      </c>
      <c r="O21" s="112" t="inlineStr">
        <is>
          <t>Existing blocker preserved from v1.4.</t>
        </is>
      </c>
      <c r="P21" s="112" t="inlineStr">
        <is>
          <t>BLOCKER</t>
        </is>
      </c>
      <c r="Q21" s="112" t="inlineStr">
        <is>
          <t>https://pioneer-car.eu/ts-wx1220ah/ts-wx1220ah</t>
        </is>
      </c>
    </row>
    <row r="23">
      <c r="A23" s="11" t="inlineStr">
        <is>
          <t>OPTIONAL / NOT INCLUDED IN KNOWN TOTAL</t>
        </is>
      </c>
    </row>
    <row r="24" ht="32" customHeight="1">
      <c r="A24" s="103" t="inlineStr">
        <is>
          <t>Option</t>
        </is>
      </c>
      <c r="B24" s="103" t="inlineStr">
        <is>
          <t>Part</t>
        </is>
      </c>
      <c r="C24" s="103" t="inlineStr">
        <is>
          <t>Price delta / price</t>
        </is>
      </c>
      <c r="D24" s="103" t="inlineStr"/>
      <c r="E24" s="103" t="inlineStr"/>
      <c r="F24" s="103" t="inlineStr"/>
      <c r="G24" s="103" t="inlineStr">
        <is>
          <t>Reason</t>
        </is>
      </c>
      <c r="H24" s="103" t="inlineStr"/>
      <c r="I24" s="103" t="inlineStr"/>
      <c r="J24" s="103" t="inlineStr"/>
      <c r="K24" s="103" t="inlineStr"/>
      <c r="L24" s="103" t="inlineStr"/>
      <c r="M24" s="103" t="inlineStr"/>
      <c r="N24" s="103" t="inlineStr"/>
      <c r="O24" s="103" t="inlineStr"/>
      <c r="P24" s="103" t="inlineStr"/>
      <c r="Q24" s="103" t="inlineStr">
        <is>
          <t>Source</t>
        </is>
      </c>
    </row>
    <row r="25">
      <c r="A25" s="78" t="inlineStr">
        <is>
          <t>Pure i5 tweeter option</t>
        </is>
      </c>
      <c r="B25" s="78" t="inlineStr">
        <is>
          <t>Ci5 T25FM-CA</t>
        </is>
      </c>
      <c r="C25" s="78" t="inlineStr">
        <is>
          <t>€149/pair instead of €399</t>
        </is>
      </c>
      <c r="D25" s="78" t="n"/>
      <c r="E25" s="78" t="n"/>
      <c r="F25" s="78" t="n"/>
      <c r="G25" s="78" t="inlineStr">
        <is>
          <t>Cheaper and truly i5, but the current HELIX Tesla FlexMount list does not show a Tesla FlexMount25 adapter. Main i5-priority BOM therefore uses i7 T20FM-SC + CFMK20 TES.1 for fit-first integration.</t>
        </is>
      </c>
      <c r="H25" s="78" t="n"/>
      <c r="I25" s="78" t="n"/>
      <c r="J25" s="78" t="n"/>
      <c r="K25" s="78" t="n"/>
      <c r="L25" s="78" t="n"/>
      <c r="M25" s="78" t="n"/>
      <c r="N25" s="78" t="n"/>
      <c r="O25" s="78" t="n"/>
      <c r="P25" s="78" t="n"/>
      <c r="Q25" s="78" t="inlineStr">
        <is>
          <t>https://www.audiotec-fischer.de/en/helix/speakers/compose/</t>
        </is>
      </c>
    </row>
    <row r="27">
      <c r="A27" s="99" t="inlineStr">
        <is>
          <t>SUMMARY</t>
        </is>
      </c>
    </row>
    <row r="28">
      <c r="A28" s="35" t="inlineStr">
        <is>
          <t>Physical cabin speakers used</t>
        </is>
      </c>
      <c r="B28" s="15">
        <f>SUMIF(A5:A21,"Speaker",F5:F21)</f>
        <v/>
      </c>
      <c r="C28" s="15" t="inlineStr">
        <is>
          <t>Must equal 15</t>
        </is>
      </c>
    </row>
    <row r="29">
      <c r="A29" s="35" t="inlineStr">
        <is>
          <t>Known hardware total</t>
        </is>
      </c>
      <c r="B29" s="29">
        <f>SUM(M5:M21)</f>
        <v/>
      </c>
      <c r="C29" s="15" t="inlineStr">
        <is>
          <t>Excludes every row with TBD/blank pricing</t>
        </is>
      </c>
    </row>
    <row r="30">
      <c r="A30" s="35" t="inlineStr">
        <is>
          <t>Old workbook budget maximum</t>
        </is>
      </c>
      <c r="B30" s="29">
        <f>Overview!B5</f>
        <v/>
      </c>
      <c r="C30" s="15" t="inlineStr">
        <is>
          <t>Legacy €3,500 target</t>
        </is>
      </c>
    </row>
    <row r="31">
      <c r="A31" s="35" t="inlineStr">
        <is>
          <t>Known delta vs old budget</t>
        </is>
      </c>
      <c r="B31" s="29">
        <f>B29-B30</f>
        <v/>
      </c>
      <c r="C31" s="15" t="inlineStr">
        <is>
          <t>Positive = above old budget</t>
        </is>
      </c>
    </row>
    <row r="32">
      <c r="A32" s="35" t="inlineStr">
        <is>
          <t>Amplified cabin channels used</t>
        </is>
      </c>
      <c r="B32" s="15" t="n">
        <v>15</v>
      </c>
      <c r="C32" s="15" t="inlineStr">
        <is>
          <t>V EIGHTEEN has 18</t>
        </is>
      </c>
    </row>
    <row r="33">
      <c r="A33" s="35" t="inlineStr">
        <is>
          <t>Spare amplified channels</t>
        </is>
      </c>
      <c r="B33" s="15" t="n">
        <v>3</v>
      </c>
      <c r="C33" s="15" t="inlineStr">
        <is>
          <t>CH16-18</t>
        </is>
      </c>
    </row>
    <row r="34">
      <c r="A34" s="35" t="inlineStr">
        <is>
          <t>DSP channels</t>
        </is>
      </c>
      <c r="B34" s="15" t="n">
        <v>20</v>
      </c>
      <c r="C34" s="15" t="inlineStr">
        <is>
          <t>18 amplified + 2 processed RCA outputs</t>
        </is>
      </c>
    </row>
    <row r="35">
      <c r="A35" s="35" t="inlineStr">
        <is>
          <t>Pioneer sub signal</t>
        </is>
      </c>
      <c r="B35" s="15" t="inlineStr">
        <is>
          <t>V EIGHTEEN processed RCA OUT 1/2 → retained Pioneer TS-WX1220AH donor amplifier</t>
        </is>
      </c>
      <c r="C35" s="15" t="inlineStr">
        <is>
          <t>Existing Pioneer drivers/amp remain €0 purchase hardware</t>
        </is>
      </c>
    </row>
    <row r="37" ht="42" customHeight="1">
      <c r="A37" s="114" t="inlineStr">
        <is>
          <t>KNOWN TOTAL excludes: SOP9-specific custom 80mm/headliner pigtails or mounts, final no-cut V EIGHTEEN interposer work, power/fuse/OFC materials, damping, shipping and any Pioneer DC-DC regulation. Do not treat the known total as an installed turnkey price.</t>
        </is>
      </c>
    </row>
  </sheetData>
  <autoFilter ref="A4:Q21"/>
  <mergeCells count="13">
    <mergeCell ref="C33:H33"/>
    <mergeCell ref="C32:H32"/>
    <mergeCell ref="A27:D27"/>
    <mergeCell ref="C28:H28"/>
    <mergeCell ref="C31:H31"/>
    <mergeCell ref="A37:Q37"/>
    <mergeCell ref="A2:Q2"/>
    <mergeCell ref="C30:H30"/>
    <mergeCell ref="C35:H35"/>
    <mergeCell ref="C34:H34"/>
    <mergeCell ref="C29:H29"/>
    <mergeCell ref="A1:Q1"/>
    <mergeCell ref="A23:Q2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39"/>
  <sheetViews>
    <sheetView showGridLines="0" workbookViewId="0">
      <pane ySplit="4" topLeftCell="A5" activePane="bottomLeft" state="frozen"/>
      <selection pane="bottomLeft" activeCell="A1" sqref="A1"/>
    </sheetView>
  </sheetViews>
  <sheetFormatPr baseColWidth="8" defaultRowHeight="15"/>
  <cols>
    <col width="16" customWidth="1" min="1" max="1"/>
    <col width="31" customWidth="1" min="2" max="2"/>
    <col width="10" customWidth="1" min="3" max="3"/>
    <col width="10" customWidth="1" min="4" max="4"/>
    <col width="11" customWidth="1" min="5" max="5"/>
    <col width="10" customWidth="1" min="6" max="6"/>
    <col width="15" customWidth="1" min="7" max="7"/>
    <col width="12" customWidth="1" min="8" max="8"/>
    <col width="24" customWidth="1" min="9" max="9"/>
    <col width="25" customWidth="1" min="10" max="10"/>
    <col width="32" customWidth="1" min="11" max="11"/>
    <col width="13" customWidth="1" min="12" max="12"/>
    <col width="14" customWidth="1" min="13" max="13"/>
    <col width="23" customWidth="1" min="14" max="14"/>
    <col width="40" customWidth="1" min="15" max="15"/>
    <col width="18" customWidth="1" min="16" max="16"/>
    <col width="53" customWidth="1" min="17" max="17"/>
  </cols>
  <sheetData>
    <row r="1" ht="28" customHeight="1">
      <c r="A1" s="101" t="inlineStr">
        <is>
          <t>FULL HELIX CABIN — COMPOSE i7-PRIORITY / V EIGHTEEN DSP</t>
        </is>
      </c>
    </row>
    <row r="2" ht="34" customHeight="1">
      <c r="A2" s="102" t="inlineStr">
        <is>
          <t>High-end i7 wherever the required 200/100/20mm size exists; i5 M80/M50 fill the 80mm and headliner positions, while Ci3 C100.2FM-S3 MK2 is the recommended full-range center. 15 individual V EIGHTEEN cabin channels + retained Pioneer subsystem.</t>
        </is>
      </c>
    </row>
    <row r="4" ht="32" customHeight="1">
      <c r="A4" s="103" t="inlineStr">
        <is>
          <t>Category</t>
        </is>
      </c>
      <c r="B4" s="103" t="inlineStr">
        <is>
          <t>Item / part</t>
        </is>
      </c>
      <c r="C4" s="103" t="inlineStr">
        <is>
          <t>Series</t>
        </is>
      </c>
      <c r="D4" s="103" t="inlineStr">
        <is>
          <t>Qty packs</t>
        </is>
      </c>
      <c r="E4" s="103" t="inlineStr">
        <is>
          <t>Units / pack</t>
        </is>
      </c>
      <c r="F4" s="103" t="inlineStr">
        <is>
          <t>Units used</t>
        </is>
      </c>
      <c r="G4" s="103" t="inlineStr">
        <is>
          <t>Size / type</t>
        </is>
      </c>
      <c r="H4" s="103" t="inlineStr">
        <is>
          <t>Impedance</t>
        </is>
      </c>
      <c r="I4" s="103" t="inlineStr">
        <is>
          <t>RMS / frequency</t>
        </is>
      </c>
      <c r="J4" s="103" t="inlineStr">
        <is>
          <t>Suggested channel / role</t>
        </is>
      </c>
      <c r="K4" s="103" t="inlineStr">
        <is>
          <t>Adapter / fitment</t>
        </is>
      </c>
      <c r="L4" s="103" t="inlineStr">
        <is>
          <t>Unit price</t>
        </is>
      </c>
      <c r="M4" s="103" t="inlineStr">
        <is>
          <t>Line total</t>
        </is>
      </c>
      <c r="N4" s="103" t="inlineStr">
        <is>
          <t>Preferred shop</t>
        </is>
      </c>
      <c r="O4" s="103" t="inlineStr">
        <is>
          <t>Benefit / trade-off</t>
        </is>
      </c>
      <c r="P4" s="103" t="inlineStr">
        <is>
          <t>Fitment confidence</t>
        </is>
      </c>
      <c r="Q4" s="103" t="inlineStr">
        <is>
          <t>Source URL</t>
        </is>
      </c>
    </row>
    <row r="5">
      <c r="A5" s="108" t="inlineStr">
        <is>
          <t>DSP / control</t>
        </is>
      </c>
      <c r="B5" s="108" t="inlineStr">
        <is>
          <t>HELIX V EIGHTEEN DSP</t>
        </is>
      </c>
      <c r="C5" s="108" t="inlineStr">
        <is>
          <t>HELIX</t>
        </is>
      </c>
      <c r="D5" s="108" t="n">
        <v>1</v>
      </c>
      <c r="E5" s="108" t="n">
        <v>1</v>
      </c>
      <c r="F5" s="108" t="n">
        <v>1</v>
      </c>
      <c r="G5" s="108" t="inlineStr">
        <is>
          <t>18ch amp / 20ch DSP</t>
        </is>
      </c>
      <c r="H5" s="108" t="inlineStr">
        <is>
          <t>—</t>
        </is>
      </c>
      <c r="I5" s="108" t="inlineStr">
        <is>
          <t>CH1-12: 70W@4Ω / up to 100W@3Ω; CH13-18: 75W@4Ω / 120W@2Ω</t>
        </is>
      </c>
      <c r="J5" s="108" t="inlineStr">
        <is>
          <t>All 15 cabin channels + RCA OUT 1/2</t>
        </is>
      </c>
      <c r="K5" s="108" t="inlineStr">
        <is>
          <t>Custom SOP9 interposer on Tesla side</t>
        </is>
      </c>
      <c r="L5" s="109" t="n">
        <v>1799</v>
      </c>
      <c r="M5" s="108">
        <f>IF(ISNUMBER(L5),D5*L5,"")</f>
        <v/>
      </c>
      <c r="N5" s="108" t="inlineStr">
        <is>
          <t>CarHifi-Store Bünde (DE) · 4-day listing</t>
        </is>
      </c>
      <c r="O5" s="108" t="inlineStr">
        <is>
          <t>Only current HELIX all-in-one amplifier with enough amplified channels for 15 individual cabin speakers; 3 amplified channels remain spare.</t>
        </is>
      </c>
      <c r="P5" s="108" t="inlineStr">
        <is>
          <t>HIGH - official channel capacity</t>
        </is>
      </c>
      <c r="Q5" s="108" t="inlineStr">
        <is>
          <t>https://mbcaraudio.nl/versterkers-met-dsp/helix-v-eighteen-dsp.html</t>
        </is>
      </c>
    </row>
    <row r="6">
      <c r="A6" s="108" t="inlineStr">
        <is>
          <t>DSP / control</t>
        </is>
      </c>
      <c r="B6" s="108" t="inlineStr">
        <is>
          <t>HELIX DIRECTOR for SCP</t>
        </is>
      </c>
      <c r="C6" s="108" t="inlineStr">
        <is>
          <t>HELIX</t>
        </is>
      </c>
      <c r="D6" s="108" t="n">
        <v>1</v>
      </c>
      <c r="E6" s="108" t="n">
        <v>1</v>
      </c>
      <c r="F6" s="108" t="n">
        <v>1</v>
      </c>
      <c r="G6" s="108" t="inlineStr">
        <is>
          <t>Touchscreen remote</t>
        </is>
      </c>
      <c r="H6" s="108" t="inlineStr">
        <is>
          <t>—</t>
        </is>
      </c>
      <c r="I6" s="108" t="inlineStr">
        <is>
          <t>DSP control / presets / master / sub level</t>
        </is>
      </c>
      <c r="J6" s="108" t="inlineStr">
        <is>
          <t>SCP</t>
        </is>
      </c>
      <c r="K6" s="108" t="inlineStr">
        <is>
          <t>SCP cable supplied</t>
        </is>
      </c>
      <c r="L6" s="109" t="n">
        <v>249</v>
      </c>
      <c r="M6" s="108">
        <f>IF(ISNUMBER(L6),D6*L6,"")</f>
        <v/>
      </c>
      <c r="N6" s="108" t="inlineStr">
        <is>
          <t>ARS24 (DE/FR) · 2–3 days; NL RRP €299</t>
        </is>
      </c>
      <c r="O6" s="108" t="inlineStr">
        <is>
          <t>Requested display/controller; direct SCP integration.</t>
        </is>
      </c>
      <c r="P6" s="108" t="inlineStr">
        <is>
          <t>HIGH</t>
        </is>
      </c>
      <c r="Q6" s="108" t="inlineStr">
        <is>
          <t>https://schutcarsystems.nl/product/helix-director/</t>
        </is>
      </c>
    </row>
    <row r="7">
      <c r="A7" s="108" t="inlineStr">
        <is>
          <t>Integration</t>
        </is>
      </c>
      <c r="B7" s="108" t="inlineStr">
        <is>
          <t>MATCH PP-TES 1.7B Highland</t>
        </is>
      </c>
      <c r="C7" s="108" t="inlineStr">
        <is>
          <t>MATCH / Audiotec Fischer</t>
        </is>
      </c>
      <c r="D7" s="108" t="n">
        <v>1</v>
      </c>
      <c r="E7" s="108" t="n">
        <v>1</v>
      </c>
      <c r="F7" s="108" t="n">
        <v>1</v>
      </c>
      <c r="G7" s="108" t="inlineStr">
        <is>
          <t>Tesla no-cut harness donor</t>
        </is>
      </c>
      <c r="H7" s="108" t="inlineStr">
        <is>
          <t>—</t>
        </is>
      </c>
      <c r="I7" s="108" t="inlineStr">
        <is>
          <t>Highland standard audio / Ryzen</t>
        </is>
      </c>
      <c r="J7" s="108" t="inlineStr">
        <is>
          <t>Tesla BAUDIO → custom V EIGHTEEN interposer</t>
        </is>
      </c>
      <c r="K7" s="108" t="inlineStr">
        <is>
          <t>NOT direct V EIGHTEEN PnP; repin/adapt purchased harness only</t>
        </is>
      </c>
      <c r="L7" s="109" t="n">
        <v>129</v>
      </c>
      <c r="M7" s="108">
        <f>IF(ISNUMBER(L7),D7*L7,"")</f>
        <v/>
      </c>
      <c r="N7" s="108" t="inlineStr">
        <is>
          <t>CarHifi-Store Bünde (DE) · immediate listing</t>
        </is>
      </c>
      <c r="O7" s="108" t="inlineStr">
        <is>
          <t>Uses original Tesla connectors; vehicle loom remains untouched.</t>
        </is>
      </c>
      <c r="P7" s="108" t="inlineStr">
        <is>
          <t>HIGH as Tesla-side donor; VERIFY V18 repin</t>
        </is>
      </c>
      <c r="Q7" s="108" t="inlineStr">
        <is>
          <t>https://www.caraudio.nl/artikel/match/match-pp-tes-1-7b-highland-kabelset-voor-tesla-model-3-highland-y-juniper-met-base-audio-mapptes17bhl</t>
        </is>
      </c>
    </row>
    <row r="8">
      <c r="A8" s="108" t="inlineStr">
        <is>
          <t>Speaker</t>
        </is>
      </c>
      <c r="B8" s="108" t="inlineStr">
        <is>
          <t>Ci7 W200FM-S3</t>
        </is>
      </c>
      <c r="C8" s="108" t="inlineStr">
        <is>
          <t>i7</t>
        </is>
      </c>
      <c r="D8" s="108" t="n">
        <v>1</v>
      </c>
      <c r="E8" s="108" t="n">
        <v>2</v>
      </c>
      <c r="F8" s="108" t="n">
        <v>2</v>
      </c>
      <c r="G8" s="108" t="inlineStr">
        <is>
          <t>200 mm high-end woofer</t>
        </is>
      </c>
      <c r="H8" s="108" t="inlineStr">
        <is>
          <t>3 Ω</t>
        </is>
      </c>
      <c r="I8" s="108" t="inlineStr">
        <is>
          <t>150W RMS / 225W max; 35–2500 Hz; 65.8 mm depth</t>
        </is>
      </c>
      <c r="J8" s="108" t="inlineStr">
        <is>
          <t>CH13 / CH14 suggested</t>
        </is>
      </c>
      <c r="K8" s="108" t="inlineStr">
        <is>
          <t>CFMK200 TES.1</t>
        </is>
      </c>
      <c r="L8" s="109" t="n">
        <v>509</v>
      </c>
      <c r="M8" s="108">
        <f>IF(ISNUMBER(L8),D8*L8,"")</f>
        <v/>
      </c>
      <c r="N8" s="108" t="inlineStr">
        <is>
          <t>CarHifi-Store Bünde (DE) · no-grille listing €509; standard set €539</t>
        </is>
      </c>
      <c r="O8" s="108" t="inlineStr">
        <is>
          <t>Made in Germany i7 front woofer; broader upper range and UHD paper cone for cleaner midbass/transition. Less shallow and lower excursion than i5 S200.</t>
        </is>
      </c>
      <c r="P8" s="108" t="inlineStr">
        <is>
          <t>HIGH driver + Highland evidence; SOP9 connector verify</t>
        </is>
      </c>
      <c r="Q8" s="108" t="inlineStr">
        <is>
          <t>https://shop.hfb.audio/produkte-fuers-auto/lautsprecher/817/helix-ci7-w200fm-s3-20cm-highend-mittel/tiefton-lautsprecher</t>
        </is>
      </c>
    </row>
    <row r="9">
      <c r="A9" s="108" t="inlineStr">
        <is>
          <t>Speaker</t>
        </is>
      </c>
      <c r="B9" s="108" t="inlineStr">
        <is>
          <t>Ci7 T20FM-SC</t>
        </is>
      </c>
      <c r="C9" s="108" t="inlineStr">
        <is>
          <t>i7</t>
        </is>
      </c>
      <c r="D9" s="108" t="n">
        <v>1</v>
      </c>
      <c r="E9" s="108" t="n">
        <v>2</v>
      </c>
      <c r="F9" s="108" t="n">
        <v>2</v>
      </c>
      <c r="G9" s="108" t="inlineStr">
        <is>
          <t>20 mm high-end silk dome</t>
        </is>
      </c>
      <c r="H9" s="108" t="inlineStr">
        <is>
          <t>4 Ω</t>
        </is>
      </c>
      <c r="I9" s="108" t="inlineStr">
        <is>
          <t>1.5–30 kHz; HP ≥2.5kHz @24dB/oct</t>
        </is>
      </c>
      <c r="J9" s="108" t="inlineStr">
        <is>
          <t>CH1 / CH2</t>
        </is>
      </c>
      <c r="K9" s="108" t="inlineStr">
        <is>
          <t>CFMK20 TES.1</t>
        </is>
      </c>
      <c r="L9" s="109" t="n">
        <v>399</v>
      </c>
      <c r="M9" s="108">
        <f>IF(ISNUMBER(L9),D9*L9,"")</f>
        <v/>
      </c>
      <c r="N9" s="108" t="inlineStr">
        <is>
          <t>CarHifi-Store Bünde (DE) · stock confirm</t>
        </is>
      </c>
      <c r="O9" s="108" t="inlineStr">
        <is>
          <t>Made in Germany high-end tweeter with official Tesla adapter support.</t>
        </is>
      </c>
      <c r="P9" s="108" t="inlineStr">
        <is>
          <t>HIGH - official Tesla adapter</t>
        </is>
      </c>
      <c r="Q9" s="108" t="inlineStr">
        <is>
          <t>https://shop.hfb.audio/produkte-fuers-auto/lautsprecher/816/helix-ci7-t20fm-sc-high-end-hochtoener</t>
        </is>
      </c>
    </row>
    <row r="10">
      <c r="A10" s="110" t="inlineStr">
        <is>
          <t>Speaker</t>
        </is>
      </c>
      <c r="B10" s="110" t="inlineStr">
        <is>
          <t>Ci7 M100FM-S3</t>
        </is>
      </c>
      <c r="C10" s="110" t="inlineStr">
        <is>
          <t>i7</t>
        </is>
      </c>
      <c r="D10" s="110" t="n">
        <v>3</v>
      </c>
      <c r="E10" s="110" t="n">
        <v>2</v>
      </c>
      <c r="F10" s="110" t="n">
        <v>6</v>
      </c>
      <c r="G10" s="110" t="inlineStr">
        <is>
          <t>100 mm high-end midrange</t>
        </is>
      </c>
      <c r="H10" s="110" t="inlineStr">
        <is>
          <t>3 Ω</t>
        </is>
      </c>
      <c r="I10" s="110" t="inlineStr">
        <is>
          <t>100W RMS / 150W max; 110–7000 Hz</t>
        </is>
      </c>
      <c r="J10" s="110" t="inlineStr">
        <is>
          <t>CH3, CH5, CH8-CH11</t>
        </is>
      </c>
      <c r="K10" s="110" t="inlineStr">
        <is>
          <t>CFMK100 TES.1</t>
        </is>
      </c>
      <c r="L10" s="111" t="n">
        <v>399</v>
      </c>
      <c r="M10" s="110">
        <f>IF(ISNUMBER(L10),D10*L10,"")</f>
        <v/>
      </c>
      <c r="N10" s="110" t="inlineStr">
        <is>
          <t>CarHifi-Store Bünde (DE) · 4-day listing</t>
        </is>
      </c>
      <c r="O10" s="110" t="inlineStr">
        <is>
          <t>Made in Germany; best resolution/tonal detail and direct 100mm FlexMount path for six positions.</t>
        </is>
      </c>
      <c r="P10" s="110" t="inlineStr">
        <is>
          <t>VERIFY rear/parcel exact SOP9 fit; Highland front-door evidence exists</t>
        </is>
      </c>
      <c r="Q10" s="110" t="inlineStr">
        <is>
          <t>https://shop.hfb.audio/produkte-fuers-auto/lautsprecher/819/helix-ci7-m100fm-s3-10cm-highend-mittelton-lautsprecher</t>
        </is>
      </c>
    </row>
    <row r="11">
      <c r="A11" s="108" t="inlineStr">
        <is>
          <t>Speaker</t>
        </is>
      </c>
      <c r="B11" s="108" t="inlineStr">
        <is>
          <t>Ci3 C100.2FM-S3 MK2</t>
        </is>
      </c>
      <c r="C11" s="108" t="inlineStr">
        <is>
          <t>i3 center</t>
        </is>
      </c>
      <c r="D11" s="108" t="n">
        <v>1</v>
      </c>
      <c r="E11" s="108" t="n">
        <v>2</v>
      </c>
      <c r="F11" s="108" t="n">
        <v>1</v>
      </c>
      <c r="G11" s="108" t="inlineStr">
        <is>
          <t>100 mm 2-way coax center</t>
        </is>
      </c>
      <c r="H11" s="108" t="inlineStr">
        <is>
          <t>3 Ω</t>
        </is>
      </c>
      <c r="I11" s="108" t="inlineStr">
        <is>
          <t>80W RMS / 120W max; 100–25kHz</t>
        </is>
      </c>
      <c r="J11" s="108" t="inlineStr">
        <is>
          <t>CH4 center</t>
        </is>
      </c>
      <c r="K11" s="108" t="inlineStr">
        <is>
          <t>CFMK100 TES.1; one spare speaker remains</t>
        </is>
      </c>
      <c r="L11" s="109" t="n">
        <v>199</v>
      </c>
      <c r="M11" s="108">
        <f>IF(ISNUMBER(L11),D11*L11,"")</f>
        <v/>
      </c>
      <c r="N11" s="108" t="inlineStr">
        <is>
          <t>HFB Audio (DE)</t>
        </is>
      </c>
      <c r="O11" s="108" t="inlineStr">
        <is>
          <t>Recommended center: full-range coax; current Highland soundXTREME likewise combines i7 front components with i3 center.</t>
        </is>
      </c>
      <c r="P11" s="108" t="inlineStr">
        <is>
          <t>HIGH driver/adapter family; position verify</t>
        </is>
      </c>
      <c r="Q11" s="108" t="inlineStr">
        <is>
          <t>https://shop.hfb.audio/produkte-fuers-auto/lautsprecher/1063/helix-ci3-c100.2fm-s3-mk2</t>
        </is>
      </c>
    </row>
    <row r="12">
      <c r="A12" s="110" t="inlineStr">
        <is>
          <t>Speaker</t>
        </is>
      </c>
      <c r="B12" s="110" t="inlineStr">
        <is>
          <t>Ci5 M80FM-S3</t>
        </is>
      </c>
      <c r="C12" s="110" t="inlineStr">
        <is>
          <t>i5 shared</t>
        </is>
      </c>
      <c r="D12" s="110" t="n">
        <v>1</v>
      </c>
      <c r="E12" s="110" t="n">
        <v>2</v>
      </c>
      <c r="F12" s="110" t="n">
        <v>2</v>
      </c>
      <c r="G12" s="110" t="inlineStr">
        <is>
          <t>80 mm advanced midrange</t>
        </is>
      </c>
      <c r="H12" s="110" t="inlineStr">
        <is>
          <t>3 Ω</t>
        </is>
      </c>
      <c r="I12" s="110" t="inlineStr">
        <is>
          <t>90W RMS / 135W max; 200–6000 Hz</t>
        </is>
      </c>
      <c r="J12" s="110" t="inlineStr">
        <is>
          <t>CH6 / CH7</t>
        </is>
      </c>
      <c r="K12" s="110" t="inlineStr">
        <is>
          <t>Front-door 80mm mount/pigtail verify</t>
        </is>
      </c>
      <c r="L12" s="111" t="n">
        <v>199</v>
      </c>
      <c r="M12" s="110">
        <f>IF(ISNUMBER(L12),D12*L12,"")</f>
        <v/>
      </c>
      <c r="N12" s="110" t="inlineStr">
        <is>
          <t>CarHifi-Store Bünde (DE) · immediate listing</t>
        </is>
      </c>
      <c r="O12" s="110" t="inlineStr">
        <is>
          <t>i7 line has no 80mm driver; Ci5 M80 is the logical HELIX Compose fit.</t>
        </is>
      </c>
      <c r="P12" s="110" t="inlineStr">
        <is>
          <t>VERIFY SOP9 front-door 80mm mounting details</t>
        </is>
      </c>
      <c r="Q12" s="110" t="inlineStr">
        <is>
          <t>https://shop.hfb.audio/produkte-fuers-auto/lautsprecher/1098/helix-ci5-m80fm-s3-8cm-mitteltoener</t>
        </is>
      </c>
    </row>
    <row r="13">
      <c r="A13" s="110" t="inlineStr">
        <is>
          <t>Speaker</t>
        </is>
      </c>
      <c r="B13" s="110" t="inlineStr">
        <is>
          <t>Ci5 M50FM-S3</t>
        </is>
      </c>
      <c r="C13" s="110" t="inlineStr">
        <is>
          <t>i5 shared</t>
        </is>
      </c>
      <c r="D13" s="110" t="n">
        <v>1</v>
      </c>
      <c r="E13" s="110" t="n">
        <v>2</v>
      </c>
      <c r="F13" s="110" t="n">
        <v>2</v>
      </c>
      <c r="G13" s="110" t="inlineStr">
        <is>
          <t>50 mm advanced wideband</t>
        </is>
      </c>
      <c r="H13" s="110" t="inlineStr">
        <is>
          <t>3 Ω</t>
        </is>
      </c>
      <c r="I13" s="110" t="inlineStr">
        <is>
          <t>70W RMS / 100W max; 300–20kHz</t>
        </is>
      </c>
      <c r="J13" s="110" t="inlineStr">
        <is>
          <t>CH12 / CH15</t>
        </is>
      </c>
      <c r="K13" s="110" t="inlineStr">
        <is>
          <t>FlexMount50 universal included; SOP9 custom mount/pigtail TBD</t>
        </is>
      </c>
      <c r="L13" s="111" t="n">
        <v>169</v>
      </c>
      <c r="M13" s="110">
        <f>IF(ISNUMBER(L13),D13*L13,"")</f>
        <v/>
      </c>
      <c r="N13" s="110" t="inlineStr">
        <is>
          <t>CarHifi-Store Bünde (DE) · immediate listing</t>
        </is>
      </c>
      <c r="O13" s="110" t="inlineStr">
        <is>
          <t>i7 line has no 50mm driver; Ci5 M50 gives full-range headliner coverage.</t>
        </is>
      </c>
      <c r="P13" s="110" t="inlineStr">
        <is>
          <t>VERIFY custom SOP9 headliner fit/pigtail</t>
        </is>
      </c>
      <c r="Q13" s="110" t="inlineStr">
        <is>
          <t>https://shop.hfb.audio/produkte-fuers-auto/lautsprecher/1097/helix-ci5-m50fm-s3-5cm-breitbaender-bzw.-mitteltoener</t>
        </is>
      </c>
    </row>
    <row r="14">
      <c r="A14" s="108" t="inlineStr">
        <is>
          <t>Adapter</t>
        </is>
      </c>
      <c r="B14" s="108" t="inlineStr">
        <is>
          <t>CFMK200 TES.1 (FDM)</t>
        </is>
      </c>
      <c r="C14" s="108" t="inlineStr">
        <is>
          <t>FlexMount</t>
        </is>
      </c>
      <c r="D14" s="108" t="n">
        <v>1</v>
      </c>
      <c r="E14" s="108" t="n">
        <v>2</v>
      </c>
      <c r="F14" s="108" t="n">
        <v>2</v>
      </c>
      <c r="G14" s="108" t="inlineStr">
        <is>
          <t>200 mm Tesla Model 3 pair</t>
        </is>
      </c>
      <c r="H14" s="108" t="inlineStr">
        <is>
          <t>—</t>
        </is>
      </c>
      <c r="I14" s="108" t="inlineStr">
        <is>
          <t>Official compatible with Ci7 W200FM-S3 and Ci5 S200FM-S2</t>
        </is>
      </c>
      <c r="J14" s="108" t="inlineStr">
        <is>
          <t>Front woofer mounts</t>
        </is>
      </c>
      <c r="K14" s="108" t="inlineStr">
        <is>
          <t>Tesla Model 3 original woofer position</t>
        </is>
      </c>
      <c r="L14" s="109" t="n">
        <v>99</v>
      </c>
      <c r="M14" s="108">
        <f>IF(ISNUMBER(L14),D14*L14,"")</f>
        <v/>
      </c>
      <c r="N14" s="108" t="inlineStr">
        <is>
          <t>Caraudio-Store.de (DE)</t>
        </is>
      </c>
      <c r="O14" s="108" t="inlineStr">
        <is>
          <t>Official vehicle-specific 200mm adapter family.</t>
        </is>
      </c>
      <c r="P14" s="108" t="inlineStr">
        <is>
          <t>HIGH family fit; confirm Highland connector/pigtail</t>
        </is>
      </c>
      <c r="Q14" s="108" t="inlineStr">
        <is>
          <t>https://www.caraudio-store.de/Helix_s11</t>
        </is>
      </c>
    </row>
    <row r="15">
      <c r="A15" s="108" t="inlineStr">
        <is>
          <t>Adapter</t>
        </is>
      </c>
      <c r="B15" s="108" t="inlineStr">
        <is>
          <t>CFMK20 TES.1</t>
        </is>
      </c>
      <c r="C15" s="108" t="inlineStr">
        <is>
          <t>FlexMount</t>
        </is>
      </c>
      <c r="D15" s="108" t="n">
        <v>1</v>
      </c>
      <c r="E15" s="108" t="n">
        <v>2</v>
      </c>
      <c r="F15" s="108" t="n">
        <v>2</v>
      </c>
      <c r="G15" s="108" t="inlineStr">
        <is>
          <t>20 mm Tesla tweeter pair</t>
        </is>
      </c>
      <c r="H15" s="108" t="inlineStr">
        <is>
          <t>—</t>
        </is>
      </c>
      <c r="I15" s="108" t="inlineStr">
        <is>
          <t>Compatible with Ci7 T20FM-SC</t>
        </is>
      </c>
      <c r="J15" s="108" t="inlineStr">
        <is>
          <t>Front tweeters</t>
        </is>
      </c>
      <c r="K15" s="108" t="inlineStr">
        <is>
          <t>Tesla factory tweeter mount</t>
        </is>
      </c>
      <c r="L15" s="109" t="n">
        <v>15.7</v>
      </c>
      <c r="M15" s="108">
        <f>IF(ISNUMBER(L15),D15*L15,"")</f>
        <v/>
      </c>
      <c r="N15" s="108" t="inlineStr">
        <is>
          <t>CarFeature (DE)</t>
        </is>
      </c>
      <c r="O15" s="108" t="inlineStr">
        <is>
          <t>Direct Tesla-specific tweeter adapter.</t>
        </is>
      </c>
      <c r="P15" s="108" t="inlineStr">
        <is>
          <t>HIGH - official Tesla adapter</t>
        </is>
      </c>
      <c r="Q15" s="108" t="inlineStr">
        <is>
          <t>https://www.carfeature.de/de/hifi-navigation/zubehoer/lautsprecherringe/fuer-einbau/25934/helix-cfmk20-tes.1-adapterringe-fuer-tesla</t>
        </is>
      </c>
    </row>
    <row r="16">
      <c r="A16" s="110" t="inlineStr">
        <is>
          <t>Adapter</t>
        </is>
      </c>
      <c r="B16" s="110" t="inlineStr">
        <is>
          <t>CFMK100 TES.1</t>
        </is>
      </c>
      <c r="C16" s="110" t="inlineStr">
        <is>
          <t>FlexMount</t>
        </is>
      </c>
      <c r="D16" s="110" t="n">
        <v>4</v>
      </c>
      <c r="E16" s="110" t="n">
        <v>2</v>
      </c>
      <c r="F16" s="110" t="n">
        <v>7</v>
      </c>
      <c r="G16" s="110" t="inlineStr">
        <is>
          <t>100 mm Tesla adapter pair</t>
        </is>
      </c>
      <c r="H16" s="110" t="inlineStr">
        <is>
          <t>—</t>
        </is>
      </c>
      <c r="I16" s="110" t="inlineStr">
        <is>
          <t>Tesla FlexConnect inlay B included</t>
        </is>
      </c>
      <c r="J16" s="110" t="inlineStr">
        <is>
          <t>Dash L/R + center + rear L/R + parcel L/R</t>
        </is>
      </c>
      <c r="K16" s="110" t="inlineStr">
        <is>
          <t>One adapter remains spare</t>
        </is>
      </c>
      <c r="L16" s="111" t="n">
        <v>19.99</v>
      </c>
      <c r="M16" s="110">
        <f>IF(ISNUMBER(L16),D16*L16,"")</f>
        <v/>
      </c>
      <c r="N16" s="110" t="inlineStr">
        <is>
          <t>CarHifi-Store Bünde (DE)</t>
        </is>
      </c>
      <c r="O16" s="110" t="inlineStr">
        <is>
          <t>Simpler than i5 route because Ci7 M100 natively uses FlexMount100; only center uses same adapter.</t>
        </is>
      </c>
      <c r="P16" s="110" t="inlineStr">
        <is>
          <t>VERIFY exact SOP9 rear/parcel mount geometry</t>
        </is>
      </c>
      <c r="Q16" s="110" t="inlineStr">
        <is>
          <t>https://www.carhifi-store-buende.de/helix-flexmount-cfmk100-tes.1</t>
        </is>
      </c>
    </row>
    <row r="17">
      <c r="A17" s="112" t="inlineStr">
        <is>
          <t>Existing hardware</t>
        </is>
      </c>
      <c r="B17" s="112" t="inlineStr">
        <is>
          <t>Pioneer TS-WX1220AH donor subsystem</t>
        </is>
      </c>
      <c r="C17" s="112" t="inlineStr">
        <is>
          <t>Pioneer retained</t>
        </is>
      </c>
      <c r="D17" s="112" t="n">
        <v>1</v>
      </c>
      <c r="E17" s="112" t="n">
        <v>1</v>
      </c>
      <c r="F17" s="112" t="n">
        <v>1</v>
      </c>
      <c r="G17" s="112" t="inlineStr">
        <is>
          <t>2×12in donor drivers + original amp</t>
        </is>
      </c>
      <c r="H17" s="112" t="inlineStr">
        <is>
          <t>—</t>
        </is>
      </c>
      <c r="I17" s="112" t="inlineStr">
        <is>
          <t>Existing hardware; custom lower-trunk baffle</t>
        </is>
      </c>
      <c r="J17" s="112" t="inlineStr">
        <is>
          <t>V EIGHTEEN processed RCA OUT 1/2 → Pioneer amp</t>
        </is>
      </c>
      <c r="K17" s="112" t="inlineStr">
        <is>
          <t>Pioneer LV compatibility gate remains</t>
        </is>
      </c>
      <c r="L17" s="113" t="n">
        <v>0</v>
      </c>
      <c r="M17" s="112">
        <f>IF(ISNUMBER(L17),D17*L17,"")</f>
        <v/>
      </c>
      <c r="N17" s="112" t="inlineStr">
        <is>
          <t>Already owned</t>
        </is>
      </c>
      <c r="O17" s="112" t="inlineStr">
        <is>
          <t>Retains existing sub hardware; no new sub purchase.</t>
        </is>
      </c>
      <c r="P17" s="112" t="inlineStr">
        <is>
          <t>BLOCKER - verify/regulate Pioneer 15.1V max supply</t>
        </is>
      </c>
      <c r="Q17" s="112" t="inlineStr">
        <is>
          <t>https://pioneer-car.eu/ts-wx1220ah/ts-wx1220ah</t>
        </is>
      </c>
    </row>
    <row r="18">
      <c r="A18" s="110" t="inlineStr">
        <is>
          <t>TBD integration</t>
        </is>
      </c>
      <c r="B18" s="110" t="inlineStr">
        <is>
          <t>Front-door 80 mm SOP9 mount / pigtail verification</t>
        </is>
      </c>
      <c r="C18" s="110" t="inlineStr">
        <is>
          <t>Custom</t>
        </is>
      </c>
      <c r="D18" s="110" t="n">
        <v>1</v>
      </c>
      <c r="E18" s="110" t="n">
        <v>1</v>
      </c>
      <c r="F18" s="110" t="n">
        <v>1</v>
      </c>
      <c r="G18" s="110" t="inlineStr">
        <is>
          <t>Mount / pigtail</t>
        </is>
      </c>
      <c r="H18" s="110" t="inlineStr">
        <is>
          <t>—</t>
        </is>
      </c>
      <c r="I18" s="110" t="inlineStr">
        <is>
          <t>TBD</t>
        </is>
      </c>
      <c r="J18" s="110" t="inlineStr">
        <is>
          <t>X570 / X580</t>
        </is>
      </c>
      <c r="K18" s="110" t="inlineStr">
        <is>
          <t>Physical proof required before order</t>
        </is>
      </c>
      <c r="L18" s="110" t="n"/>
      <c r="M18" s="110">
        <f>IF(ISNUMBER(L18),D18*L18,"")</f>
        <v/>
      </c>
      <c r="N18" s="110" t="inlineStr">
        <is>
          <t>TBD NL/DE</t>
        </is>
      </c>
      <c r="O18" s="110" t="inlineStr">
        <is>
          <t>Not included in known total.</t>
        </is>
      </c>
      <c r="P18" s="110" t="inlineStr">
        <is>
          <t>VERIFY</t>
        </is>
      </c>
      <c r="Q18" s="110" t="inlineStr"/>
    </row>
    <row r="19">
      <c r="A19" s="110" t="inlineStr">
        <is>
          <t>TBD integration</t>
        </is>
      </c>
      <c r="B19" s="110" t="inlineStr">
        <is>
          <t>Headliner 50 mm SOP9 mount / pigtail</t>
        </is>
      </c>
      <c r="C19" s="110" t="inlineStr">
        <is>
          <t>Custom</t>
        </is>
      </c>
      <c r="D19" s="110" t="n">
        <v>1</v>
      </c>
      <c r="E19" s="110" t="n">
        <v>1</v>
      </c>
      <c r="F19" s="110" t="n">
        <v>1</v>
      </c>
      <c r="G19" s="110" t="inlineStr">
        <is>
          <t>Mount / pigtail</t>
        </is>
      </c>
      <c r="H19" s="110" t="inlineStr">
        <is>
          <t>—</t>
        </is>
      </c>
      <c r="I19" s="110" t="inlineStr">
        <is>
          <t>TBD</t>
        </is>
      </c>
      <c r="J19" s="110" t="inlineStr">
        <is>
          <t>X569 / X579</t>
        </is>
      </c>
      <c r="K19" s="110" t="inlineStr">
        <is>
          <t>PAUDIO-only added positions</t>
        </is>
      </c>
      <c r="L19" s="110" t="n"/>
      <c r="M19" s="110">
        <f>IF(ISNUMBER(L19),D19*L19,"")</f>
        <v/>
      </c>
      <c r="N19" s="110" t="inlineStr">
        <is>
          <t>TBD NL/DE</t>
        </is>
      </c>
      <c r="O19" s="110" t="inlineStr">
        <is>
          <t>Not included in known total.</t>
        </is>
      </c>
      <c r="P19" s="110" t="inlineStr">
        <is>
          <t>VERIFY</t>
        </is>
      </c>
      <c r="Q19" s="110" t="inlineStr"/>
    </row>
    <row r="20">
      <c r="A20" s="110" t="inlineStr">
        <is>
          <t>TBD integration</t>
        </is>
      </c>
      <c r="B20" s="110" t="inlineStr">
        <is>
          <t>V EIGHTEEN power / fuse / OFC / distribution</t>
        </is>
      </c>
      <c r="C20" s="110" t="inlineStr">
        <is>
          <t>Install material</t>
        </is>
      </c>
      <c r="D20" s="110" t="n">
        <v>1</v>
      </c>
      <c r="E20" s="110" t="n">
        <v>1</v>
      </c>
      <c r="F20" s="110" t="n">
        <v>1</v>
      </c>
      <c r="G20" s="110" t="inlineStr">
        <is>
          <t>Power integration</t>
        </is>
      </c>
      <c r="H20" s="110" t="inlineStr">
        <is>
          <t>—</t>
        </is>
      </c>
      <c r="I20" s="110" t="inlineStr">
        <is>
          <t>V EIGHTEEN: 10.5–18V, 108A max rating, 3×30A internal fuses</t>
        </is>
      </c>
      <c r="J20" s="110" t="inlineStr">
        <is>
          <t>Tesla LV → V EIGHTEEN</t>
        </is>
      </c>
      <c r="K20" s="110" t="inlineStr">
        <is>
          <t>Engineer final cable/fuse topology</t>
        </is>
      </c>
      <c r="L20" s="110" t="n"/>
      <c r="M20" s="110">
        <f>IF(ISNUMBER(L20),D20*L20,"")</f>
        <v/>
      </c>
      <c r="N20" s="110" t="inlineStr">
        <is>
          <t>TBD NL/DE</t>
        </is>
      </c>
      <c r="O20" s="110" t="inlineStr">
        <is>
          <t>Not included in known total.</t>
        </is>
      </c>
      <c r="P20" s="110" t="inlineStr">
        <is>
          <t>VERIFY</t>
        </is>
      </c>
      <c r="Q20" s="110" t="inlineStr">
        <is>
          <t>https://www.audiotec-fischer.de/en/helix/amplifiers/v-eighteen-dsp</t>
        </is>
      </c>
    </row>
    <row r="21">
      <c r="A21" s="112" t="inlineStr">
        <is>
          <t>TBD integration</t>
        </is>
      </c>
      <c r="B21" s="112" t="inlineStr">
        <is>
          <t>Pioneer voltage compatibility / regulation</t>
        </is>
      </c>
      <c r="C21" s="112" t="inlineStr">
        <is>
          <t>Power gate</t>
        </is>
      </c>
      <c r="D21" s="112" t="n">
        <v>1</v>
      </c>
      <c r="E21" s="112" t="n">
        <v>1</v>
      </c>
      <c r="F21" s="112" t="n">
        <v>1</v>
      </c>
      <c r="G21" s="112" t="inlineStr">
        <is>
          <t>High-current DC-DC if required</t>
        </is>
      </c>
      <c r="H21" s="112" t="inlineStr">
        <is>
          <t>—</t>
        </is>
      </c>
      <c r="I21" s="112" t="inlineStr">
        <is>
          <t>Pioneer max 15.1V vs Tesla published 15.5V</t>
        </is>
      </c>
      <c r="J21" s="112" t="inlineStr">
        <is>
          <t>Tesla LV → Pioneer amp</t>
        </is>
      </c>
      <c r="K21" s="112" t="inlineStr">
        <is>
          <t>Do not connect directly until verified</t>
        </is>
      </c>
      <c r="L21" s="112" t="n"/>
      <c r="M21" s="112">
        <f>IF(ISNUMBER(L21),D21*L21,"")</f>
        <v/>
      </c>
      <c r="N21" s="112" t="inlineStr">
        <is>
          <t>TBD</t>
        </is>
      </c>
      <c r="O21" s="112" t="inlineStr">
        <is>
          <t>Existing blocker preserved from v1.4.</t>
        </is>
      </c>
      <c r="P21" s="112" t="inlineStr">
        <is>
          <t>BLOCKER</t>
        </is>
      </c>
      <c r="Q21" s="112" t="inlineStr">
        <is>
          <t>https://pioneer-car.eu/ts-wx1220ah/ts-wx1220ah</t>
        </is>
      </c>
    </row>
    <row r="23">
      <c r="A23" s="11" t="inlineStr">
        <is>
          <t>OPTIONAL / NOT INCLUDED IN KNOWN TOTAL</t>
        </is>
      </c>
    </row>
    <row r="24" ht="32" customHeight="1">
      <c r="A24" s="103" t="inlineStr">
        <is>
          <t>Option</t>
        </is>
      </c>
      <c r="B24" s="103" t="inlineStr">
        <is>
          <t>Part</t>
        </is>
      </c>
      <c r="C24" s="103" t="inlineStr">
        <is>
          <t>Price delta / price</t>
        </is>
      </c>
      <c r="D24" s="103" t="inlineStr"/>
      <c r="E24" s="103" t="inlineStr"/>
      <c r="F24" s="103" t="inlineStr"/>
      <c r="G24" s="103" t="inlineStr">
        <is>
          <t>Reason</t>
        </is>
      </c>
      <c r="H24" s="103" t="inlineStr"/>
      <c r="I24" s="103" t="inlineStr"/>
      <c r="J24" s="103" t="inlineStr"/>
      <c r="K24" s="103" t="inlineStr"/>
      <c r="L24" s="103" t="inlineStr"/>
      <c r="M24" s="103" t="inlineStr"/>
      <c r="N24" s="103" t="inlineStr"/>
      <c r="O24" s="103" t="inlineStr"/>
      <c r="P24" s="103" t="inlineStr"/>
      <c r="Q24" s="103" t="inlineStr">
        <is>
          <t>Source</t>
        </is>
      </c>
    </row>
    <row r="25">
      <c r="A25" s="78" t="inlineStr">
        <is>
          <t>Maximum i7 center option</t>
        </is>
      </c>
      <c r="B25" s="78" t="inlineStr">
        <is>
          <t>4th pair Ci7 M100FM-S3 replacing Ci3 center pair</t>
        </is>
      </c>
      <c r="C25" s="78" t="inlineStr">
        <is>
          <t>+€200 known hardware</t>
        </is>
      </c>
      <c r="D25" s="78" t="n"/>
      <c r="E25" s="78" t="n"/>
      <c r="F25" s="78" t="n"/>
      <c r="G25" s="78" t="inlineStr">
        <is>
          <t>More i7 content, but M100 is a midrange with 110–7000 Hz response. The recommended Ci3 C100.2FM-S3 MK2 is a 100–25kHz coax and is a more complete center; CarHifi-Store Bünde also uses i3 center with i7 front in its Highland soundXTREME.</t>
        </is>
      </c>
      <c r="H25" s="78" t="n"/>
      <c r="I25" s="78" t="n"/>
      <c r="J25" s="78" t="n"/>
      <c r="K25" s="78" t="n"/>
      <c r="L25" s="78" t="n"/>
      <c r="M25" s="78" t="n"/>
      <c r="N25" s="78" t="n"/>
      <c r="O25" s="78" t="n"/>
      <c r="P25" s="78" t="n"/>
      <c r="Q25" s="78" t="inlineStr">
        <is>
          <t>https://www.carhifi-store-buende.de/tesla-model-3-sr-highland-soundxtreme</t>
        </is>
      </c>
    </row>
    <row r="27">
      <c r="A27" s="99" t="inlineStr">
        <is>
          <t>SUMMARY</t>
        </is>
      </c>
    </row>
    <row r="28">
      <c r="A28" s="35" t="inlineStr">
        <is>
          <t>Physical cabin speakers used</t>
        </is>
      </c>
      <c r="B28" s="15">
        <f>SUMIF(A5:A21,"Speaker",F5:F21)</f>
        <v/>
      </c>
      <c r="C28" s="15" t="inlineStr">
        <is>
          <t>Must equal 15</t>
        </is>
      </c>
    </row>
    <row r="29">
      <c r="A29" s="35" t="inlineStr">
        <is>
          <t>Known hardware total</t>
        </is>
      </c>
      <c r="B29" s="29">
        <f>SUM(M5:M21)</f>
        <v/>
      </c>
      <c r="C29" s="15" t="inlineStr">
        <is>
          <t>Excludes every row with TBD/blank pricing</t>
        </is>
      </c>
    </row>
    <row r="30">
      <c r="A30" s="35" t="inlineStr">
        <is>
          <t>Old workbook budget maximum</t>
        </is>
      </c>
      <c r="B30" s="29">
        <f>Overview!B5</f>
        <v/>
      </c>
      <c r="C30" s="15" t="inlineStr">
        <is>
          <t>Legacy €3,500 target</t>
        </is>
      </c>
    </row>
    <row r="31">
      <c r="A31" s="35" t="inlineStr">
        <is>
          <t>Known delta vs old budget</t>
        </is>
      </c>
      <c r="B31" s="29">
        <f>B29-B30</f>
        <v/>
      </c>
      <c r="C31" s="15" t="inlineStr">
        <is>
          <t>Positive = above old budget</t>
        </is>
      </c>
    </row>
    <row r="32">
      <c r="A32" s="35" t="inlineStr">
        <is>
          <t>Amplified cabin channels used</t>
        </is>
      </c>
      <c r="B32" s="15" t="n">
        <v>15</v>
      </c>
      <c r="C32" s="15" t="inlineStr">
        <is>
          <t>V EIGHTEEN has 18</t>
        </is>
      </c>
    </row>
    <row r="33">
      <c r="A33" s="35" t="inlineStr">
        <is>
          <t>Spare amplified channels</t>
        </is>
      </c>
      <c r="B33" s="15" t="n">
        <v>3</v>
      </c>
      <c r="C33" s="15" t="inlineStr">
        <is>
          <t>CH16-18</t>
        </is>
      </c>
    </row>
    <row r="34">
      <c r="A34" s="35" t="inlineStr">
        <is>
          <t>DSP channels</t>
        </is>
      </c>
      <c r="B34" s="15" t="n">
        <v>20</v>
      </c>
      <c r="C34" s="15" t="inlineStr">
        <is>
          <t>18 amplified + 2 processed RCA outputs</t>
        </is>
      </c>
    </row>
    <row r="35">
      <c r="A35" s="35" t="inlineStr">
        <is>
          <t>Pioneer sub signal</t>
        </is>
      </c>
      <c r="B35" s="15" t="inlineStr">
        <is>
          <t>V EIGHTEEN processed RCA OUT 1/2 → retained Pioneer TS-WX1220AH donor amplifier</t>
        </is>
      </c>
      <c r="C35" s="15" t="inlineStr">
        <is>
          <t>Existing Pioneer drivers/amp remain €0 purchase hardware</t>
        </is>
      </c>
    </row>
    <row r="37" ht="42" customHeight="1">
      <c r="A37" s="114" t="inlineStr">
        <is>
          <t>KNOWN TOTAL excludes: SOP9-specific custom 80mm/headliner pigtails or mounts, final no-cut V EIGHTEEN interposer work, power/fuse/OFC materials, damping, shipping and any Pioneer DC-DC regulation. i7 is the premium/no-compromise cabin route, not a budget route.</t>
        </is>
      </c>
    </row>
    <row r="39">
      <c r="A39" s="99" t="inlineStr">
        <is>
          <t>v1.8 sourcing note</t>
        </is>
      </c>
      <c r="B39" s="15" t="inlineStr">
        <is>
          <t>For the i7-class subset, BOXMORE BXS is a lower-cost NL/BE candidate, but published current specs are not universally identical to HELIX i7. See Speaker_Sourcing_NL_DE before mixing brands.</t>
        </is>
      </c>
    </row>
  </sheetData>
  <autoFilter ref="A4:Q21"/>
  <mergeCells count="13">
    <mergeCell ref="C33:H33"/>
    <mergeCell ref="C32:H32"/>
    <mergeCell ref="A27:D27"/>
    <mergeCell ref="C28:H28"/>
    <mergeCell ref="C31:H31"/>
    <mergeCell ref="A37:Q37"/>
    <mergeCell ref="A2:Q2"/>
    <mergeCell ref="C30:H30"/>
    <mergeCell ref="C35:H35"/>
    <mergeCell ref="C34:H34"/>
    <mergeCell ref="C29:H29"/>
    <mergeCell ref="A1:Q1"/>
    <mergeCell ref="A23:Q2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3"/>
  <sheetViews>
    <sheetView showGridLines="0" workbookViewId="0">
      <pane ySplit="4" topLeftCell="A5" activePane="bottomLeft" state="frozen"/>
      <selection pane="bottomLeft" activeCell="A1" sqref="A1"/>
    </sheetView>
  </sheetViews>
  <sheetFormatPr baseColWidth="8" defaultRowHeight="15"/>
  <cols>
    <col width="18" customWidth="1" min="1" max="1"/>
    <col width="11" customWidth="1" min="2" max="2"/>
    <col width="27" customWidth="1" min="3" max="3"/>
    <col width="15" customWidth="1" min="4" max="4"/>
    <col width="24" customWidth="1" min="5" max="5"/>
    <col width="24" customWidth="1" min="6" max="6"/>
    <col width="15" customWidth="1" min="7" max="7"/>
    <col width="35" customWidth="1" min="8" max="8"/>
    <col width="38" customWidth="1" min="9" max="9"/>
    <col width="24" customWidth="1" min="10" max="10"/>
    <col width="34" customWidth="1" min="11" max="11"/>
    <col width="42" customWidth="1" min="12" max="12"/>
  </cols>
  <sheetData>
    <row r="1" ht="28" customHeight="1">
      <c r="A1" s="101" t="inlineStr">
        <is>
          <t>HELIX V EIGHTEEN — PROPOSED 15-CHANNEL SOP9 MAP</t>
        </is>
      </c>
    </row>
    <row r="2" ht="34" customHeight="1">
      <c r="A2" s="102" t="inlineStr">
        <is>
          <t>Same logical map for both scenarios. i5 S200 woofers must be on CH13/14 (2Ω-capable bank). CH16–18 remain spare; processed RCA DSP outputs feed the existing Pioneer donor amplifier.</t>
        </is>
      </c>
    </row>
    <row r="4" ht="32" customHeight="1">
      <c r="A4" s="103" t="inlineStr">
        <is>
          <t>V EIGHTEEN out</t>
        </is>
      </c>
      <c r="B4" s="103" t="inlineStr">
        <is>
          <t>Physical #</t>
        </is>
      </c>
      <c r="C4" s="103" t="inlineStr">
        <is>
          <t>Location</t>
        </is>
      </c>
      <c r="D4" s="103" t="inlineStr">
        <is>
          <t>Tesla endpoint</t>
        </is>
      </c>
      <c r="E4" s="103" t="inlineStr">
        <is>
          <t>i5-priority driver</t>
        </is>
      </c>
      <c r="F4" s="103" t="inlineStr">
        <is>
          <t>i7-priority driver</t>
        </is>
      </c>
      <c r="G4" s="103" t="inlineStr">
        <is>
          <t>Nominal load</t>
        </is>
      </c>
      <c r="H4" s="103" t="inlineStr">
        <is>
          <t>Why this channel</t>
        </is>
      </c>
      <c r="I4" s="103" t="inlineStr">
        <is>
          <t>Adapter / mount</t>
        </is>
      </c>
      <c r="J4" s="103" t="inlineStr">
        <is>
          <t>Fitment status</t>
        </is>
      </c>
      <c r="K4" s="103" t="inlineStr">
        <is>
          <t>DSP starting role</t>
        </is>
      </c>
      <c r="L4" s="103" t="inlineStr">
        <is>
          <t>Source / note</t>
        </is>
      </c>
    </row>
    <row r="5">
      <c r="A5" s="86" t="inlineStr">
        <is>
          <t>CH1</t>
        </is>
      </c>
      <c r="B5" s="86" t="n">
        <v>3</v>
      </c>
      <c r="C5" s="86" t="inlineStr">
        <is>
          <t>Front left tweeter</t>
        </is>
      </c>
      <c r="D5" s="86" t="inlineStr">
        <is>
          <t>X565</t>
        </is>
      </c>
      <c r="E5" s="86" t="inlineStr">
        <is>
          <t>Ci7 T20FM-SC</t>
        </is>
      </c>
      <c r="F5" s="86" t="inlineStr">
        <is>
          <t>Ci7 T20FM-SC</t>
        </is>
      </c>
      <c r="G5" s="86" t="inlineStr">
        <is>
          <t>4Ω</t>
        </is>
      </c>
      <c r="H5" s="86" t="inlineStr">
        <is>
          <t>CH1-12 suitable; dedicated active tweeter</t>
        </is>
      </c>
      <c r="I5" s="86" t="inlineStr">
        <is>
          <t>CFMK20 TES.1</t>
        </is>
      </c>
      <c r="J5" s="86" t="inlineStr">
        <is>
          <t>HIGH</t>
        </is>
      </c>
      <c r="K5" s="86" t="inlineStr">
        <is>
          <t>HP ≥2.5kHz @24dB/oct; final tune in car</t>
        </is>
      </c>
      <c r="L5" s="86" t="inlineStr">
        <is>
          <t>HELIX tweeter official data</t>
        </is>
      </c>
    </row>
    <row r="6">
      <c r="A6" s="86" t="inlineStr">
        <is>
          <t>CH2</t>
        </is>
      </c>
      <c r="B6" s="86" t="n">
        <v>4</v>
      </c>
      <c r="C6" s="86" t="inlineStr">
        <is>
          <t>Front right tweeter</t>
        </is>
      </c>
      <c r="D6" s="86" t="inlineStr">
        <is>
          <t>X575</t>
        </is>
      </c>
      <c r="E6" s="86" t="inlineStr">
        <is>
          <t>Ci7 T20FM-SC</t>
        </is>
      </c>
      <c r="F6" s="86" t="inlineStr">
        <is>
          <t>Ci7 T20FM-SC</t>
        </is>
      </c>
      <c r="G6" s="86" t="inlineStr">
        <is>
          <t>4Ω</t>
        </is>
      </c>
      <c r="H6" s="86" t="inlineStr">
        <is>
          <t>CH1-12 suitable; dedicated active tweeter</t>
        </is>
      </c>
      <c r="I6" s="86" t="inlineStr">
        <is>
          <t>CFMK20 TES.1</t>
        </is>
      </c>
      <c r="J6" s="86" t="inlineStr">
        <is>
          <t>HIGH</t>
        </is>
      </c>
      <c r="K6" s="86" t="inlineStr">
        <is>
          <t>HP ≥2.5kHz @24dB/oct; final tune in car</t>
        </is>
      </c>
      <c r="L6" s="86" t="inlineStr">
        <is>
          <t>HELIX tweeter official data</t>
        </is>
      </c>
    </row>
    <row r="7">
      <c r="A7" s="78" t="inlineStr">
        <is>
          <t>CH3</t>
        </is>
      </c>
      <c r="B7" s="78" t="n">
        <v>5</v>
      </c>
      <c r="C7" s="78" t="inlineStr">
        <is>
          <t>Instrument panel left</t>
        </is>
      </c>
      <c r="D7" s="78" t="inlineStr">
        <is>
          <t>X566</t>
        </is>
      </c>
      <c r="E7" s="78" t="inlineStr">
        <is>
          <t>Ci5 M80FM-S3</t>
        </is>
      </c>
      <c r="F7" s="78" t="inlineStr">
        <is>
          <t>Ci7 M100FM-S3</t>
        </is>
      </c>
      <c r="G7" s="78" t="inlineStr">
        <is>
          <t>3Ω</t>
        </is>
      </c>
      <c r="H7" s="78" t="inlineStr">
        <is>
          <t>Up to 100W@3Ω typical on CH1-12</t>
        </is>
      </c>
      <c r="I7" s="78" t="inlineStr">
        <is>
          <t>i5: CFMK80-100 + CFMK100 TES.1; i7: CFMK100 TES.1</t>
        </is>
      </c>
      <c r="J7" s="78" t="inlineStr">
        <is>
          <t>VERIFY SOP9 position</t>
        </is>
      </c>
      <c r="K7" s="78" t="inlineStr">
        <is>
          <t>Band-pass / time-align</t>
        </is>
      </c>
      <c r="L7" s="78" t="inlineStr">
        <is>
          <t>Physical mount verify</t>
        </is>
      </c>
    </row>
    <row r="8">
      <c r="A8" s="78" t="inlineStr">
        <is>
          <t>CH4</t>
        </is>
      </c>
      <c r="B8" s="78" t="n">
        <v>6</v>
      </c>
      <c r="C8" s="78" t="inlineStr">
        <is>
          <t>Instrument panel center</t>
        </is>
      </c>
      <c r="D8" s="78" t="inlineStr">
        <is>
          <t>X595</t>
        </is>
      </c>
      <c r="E8" s="78" t="inlineStr">
        <is>
          <t>Ci3 C100.2FM-S3 MK2</t>
        </is>
      </c>
      <c r="F8" s="78" t="inlineStr">
        <is>
          <t>Ci3 C100.2FM-S3 MK2</t>
        </is>
      </c>
      <c r="G8" s="78" t="inlineStr">
        <is>
          <t>3Ω</t>
        </is>
      </c>
      <c r="H8" s="78" t="inlineStr">
        <is>
          <t>Dedicated RealCenter-capable channel</t>
        </is>
      </c>
      <c r="I8" s="78" t="inlineStr">
        <is>
          <t>CFMK100 TES.1</t>
        </is>
      </c>
      <c r="J8" s="78" t="inlineStr">
        <is>
          <t>VERIFY SOP9 center fit</t>
        </is>
      </c>
      <c r="K8" s="78" t="inlineStr">
        <is>
          <t>Center / RealCenter; HP tuned after measurement</t>
        </is>
      </c>
      <c r="L8" s="78" t="inlineStr">
        <is>
          <t>Full-range coax center</t>
        </is>
      </c>
    </row>
    <row r="9">
      <c r="A9" s="78" t="inlineStr">
        <is>
          <t>CH5</t>
        </is>
      </c>
      <c r="B9" s="78" t="n">
        <v>7</v>
      </c>
      <c r="C9" s="78" t="inlineStr">
        <is>
          <t>Instrument panel right</t>
        </is>
      </c>
      <c r="D9" s="78" t="inlineStr">
        <is>
          <t>X576</t>
        </is>
      </c>
      <c r="E9" s="78" t="inlineStr">
        <is>
          <t>Ci5 M80FM-S3</t>
        </is>
      </c>
      <c r="F9" s="78" t="inlineStr">
        <is>
          <t>Ci7 M100FM-S3</t>
        </is>
      </c>
      <c r="G9" s="78" t="inlineStr">
        <is>
          <t>3Ω</t>
        </is>
      </c>
      <c r="H9" s="78" t="inlineStr">
        <is>
          <t>Up to 100W@3Ω typical on CH1-12</t>
        </is>
      </c>
      <c r="I9" s="78" t="inlineStr">
        <is>
          <t>i5: CFMK80-100 + CFMK100 TES.1; i7: CFMK100 TES.1</t>
        </is>
      </c>
      <c r="J9" s="78" t="inlineStr">
        <is>
          <t>VERIFY SOP9 position</t>
        </is>
      </c>
      <c r="K9" s="78" t="inlineStr">
        <is>
          <t>Band-pass / time-align</t>
        </is>
      </c>
      <c r="L9" s="78" t="inlineStr">
        <is>
          <t>Physical mount verify</t>
        </is>
      </c>
    </row>
    <row r="10">
      <c r="A10" s="78" t="inlineStr">
        <is>
          <t>CH6</t>
        </is>
      </c>
      <c r="B10" s="78" t="n">
        <v>8</v>
      </c>
      <c r="C10" s="78" t="inlineStr">
        <is>
          <t>Front left door 80mm</t>
        </is>
      </c>
      <c r="D10" s="78" t="inlineStr">
        <is>
          <t>X570</t>
        </is>
      </c>
      <c r="E10" s="78" t="inlineStr">
        <is>
          <t>Ci5 M80FM-S3</t>
        </is>
      </c>
      <c r="F10" s="78" t="inlineStr">
        <is>
          <t>Ci5 M80FM-S3</t>
        </is>
      </c>
      <c r="G10" s="78" t="inlineStr">
        <is>
          <t>3Ω</t>
        </is>
      </c>
      <c r="H10" s="78" t="inlineStr">
        <is>
          <t>Dedicated added PAUDIO position</t>
        </is>
      </c>
      <c r="I10" s="78" t="inlineStr">
        <is>
          <t>SOP9 mount/pigtail TBD</t>
        </is>
      </c>
      <c r="J10" s="78" t="inlineStr">
        <is>
          <t>VERIFY</t>
        </is>
      </c>
      <c r="K10" s="78" t="inlineStr">
        <is>
          <t>Band-pass / time-align</t>
        </is>
      </c>
      <c r="L10" s="78" t="inlineStr">
        <is>
          <t>Added PAUDIO-only position</t>
        </is>
      </c>
    </row>
    <row r="11">
      <c r="A11" s="78" t="inlineStr">
        <is>
          <t>CH7</t>
        </is>
      </c>
      <c r="B11" s="78" t="n">
        <v>9</v>
      </c>
      <c r="C11" s="78" t="inlineStr">
        <is>
          <t>Front right door 80mm</t>
        </is>
      </c>
      <c r="D11" s="78" t="inlineStr">
        <is>
          <t>X580</t>
        </is>
      </c>
      <c r="E11" s="78" t="inlineStr">
        <is>
          <t>Ci5 M80FM-S3</t>
        </is>
      </c>
      <c r="F11" s="78" t="inlineStr">
        <is>
          <t>Ci5 M80FM-S3</t>
        </is>
      </c>
      <c r="G11" s="78" t="inlineStr">
        <is>
          <t>3Ω</t>
        </is>
      </c>
      <c r="H11" s="78" t="inlineStr">
        <is>
          <t>Dedicated added PAUDIO position</t>
        </is>
      </c>
      <c r="I11" s="78" t="inlineStr">
        <is>
          <t>SOP9 mount/pigtail TBD</t>
        </is>
      </c>
      <c r="J11" s="78" t="inlineStr">
        <is>
          <t>VERIFY</t>
        </is>
      </c>
      <c r="K11" s="78" t="inlineStr">
        <is>
          <t>Band-pass / time-align</t>
        </is>
      </c>
      <c r="L11" s="78" t="inlineStr">
        <is>
          <t>Added PAUDIO-only position</t>
        </is>
      </c>
    </row>
    <row r="12">
      <c r="A12" s="78" t="inlineStr">
        <is>
          <t>CH8</t>
        </is>
      </c>
      <c r="B12" s="78" t="n">
        <v>10</v>
      </c>
      <c r="C12" s="78" t="inlineStr">
        <is>
          <t>Rear left door</t>
        </is>
      </c>
      <c r="D12" s="78" t="inlineStr">
        <is>
          <t>X586</t>
        </is>
      </c>
      <c r="E12" s="78" t="inlineStr">
        <is>
          <t>Ci5 M80FM-S3</t>
        </is>
      </c>
      <c r="F12" s="78" t="inlineStr">
        <is>
          <t>Ci7 M100FM-S3</t>
        </is>
      </c>
      <c r="G12" s="78" t="inlineStr">
        <is>
          <t>3Ω</t>
        </is>
      </c>
      <c r="H12" s="78" t="inlineStr">
        <is>
          <t>Dedicated rear channel</t>
        </is>
      </c>
      <c r="I12" s="78" t="inlineStr">
        <is>
          <t>i5: 80→100 + Tesla 100; i7: Tesla 100</t>
        </is>
      </c>
      <c r="J12" s="78" t="inlineStr">
        <is>
          <t>VERIFY</t>
        </is>
      </c>
      <c r="K12" s="78" t="inlineStr">
        <is>
          <t>Rear fill; lower level / delay</t>
        </is>
      </c>
      <c r="L12" s="78" t="inlineStr">
        <is>
          <t>Exact rear mount verify</t>
        </is>
      </c>
    </row>
    <row r="13">
      <c r="A13" s="78" t="inlineStr">
        <is>
          <t>CH9</t>
        </is>
      </c>
      <c r="B13" s="78" t="n">
        <v>11</v>
      </c>
      <c r="C13" s="78" t="inlineStr">
        <is>
          <t>Rear right door</t>
        </is>
      </c>
      <c r="D13" s="78" t="inlineStr">
        <is>
          <t>X591</t>
        </is>
      </c>
      <c r="E13" s="78" t="inlineStr">
        <is>
          <t>Ci5 M80FM-S3</t>
        </is>
      </c>
      <c r="F13" s="78" t="inlineStr">
        <is>
          <t>Ci7 M100FM-S3</t>
        </is>
      </c>
      <c r="G13" s="78" t="inlineStr">
        <is>
          <t>3Ω</t>
        </is>
      </c>
      <c r="H13" s="78" t="inlineStr">
        <is>
          <t>Dedicated rear channel</t>
        </is>
      </c>
      <c r="I13" s="78" t="inlineStr">
        <is>
          <t>i5: 80→100 + Tesla 100; i7: Tesla 100</t>
        </is>
      </c>
      <c r="J13" s="78" t="inlineStr">
        <is>
          <t>VERIFY</t>
        </is>
      </c>
      <c r="K13" s="78" t="inlineStr">
        <is>
          <t>Rear fill; lower level / delay</t>
        </is>
      </c>
      <c r="L13" s="78" t="inlineStr">
        <is>
          <t>Exact rear mount verify</t>
        </is>
      </c>
    </row>
    <row r="14">
      <c r="A14" s="78" t="inlineStr">
        <is>
          <t>CH10</t>
        </is>
      </c>
      <c r="B14" s="78" t="n">
        <v>12</v>
      </c>
      <c r="C14" s="78" t="inlineStr">
        <is>
          <t>Parcel shelf left</t>
        </is>
      </c>
      <c r="D14" s="78" t="inlineStr">
        <is>
          <t>X588</t>
        </is>
      </c>
      <c r="E14" s="78" t="inlineStr">
        <is>
          <t>Ci5 M80FM-S3</t>
        </is>
      </c>
      <c r="F14" s="78" t="inlineStr">
        <is>
          <t>Ci7 M100FM-S3</t>
        </is>
      </c>
      <c r="G14" s="78" t="inlineStr">
        <is>
          <t>3Ω</t>
        </is>
      </c>
      <c r="H14" s="78" t="inlineStr">
        <is>
          <t>Dedicated PAUDIO parcel channel</t>
        </is>
      </c>
      <c r="I14" s="78" t="inlineStr">
        <is>
          <t>i5: 80→100 + Tesla 100; i7: Tesla 100</t>
        </is>
      </c>
      <c r="J14" s="78" t="inlineStr">
        <is>
          <t>VERIFY</t>
        </is>
      </c>
      <c r="K14" s="78" t="inlineStr">
        <is>
          <t>Rear ambience / band-pass</t>
        </is>
      </c>
      <c r="L14" s="78" t="inlineStr">
        <is>
          <t>Added PAUDIO-only position</t>
        </is>
      </c>
    </row>
    <row r="15">
      <c r="A15" s="78" t="inlineStr">
        <is>
          <t>CH11</t>
        </is>
      </c>
      <c r="B15" s="78" t="n">
        <v>13</v>
      </c>
      <c r="C15" s="78" t="inlineStr">
        <is>
          <t>Parcel shelf right</t>
        </is>
      </c>
      <c r="D15" s="78" t="inlineStr">
        <is>
          <t>X593</t>
        </is>
      </c>
      <c r="E15" s="78" t="inlineStr">
        <is>
          <t>Ci5 M80FM-S3</t>
        </is>
      </c>
      <c r="F15" s="78" t="inlineStr">
        <is>
          <t>Ci7 M100FM-S3</t>
        </is>
      </c>
      <c r="G15" s="78" t="inlineStr">
        <is>
          <t>3Ω</t>
        </is>
      </c>
      <c r="H15" s="78" t="inlineStr">
        <is>
          <t>Dedicated PAUDIO parcel channel</t>
        </is>
      </c>
      <c r="I15" s="78" t="inlineStr">
        <is>
          <t>i5: 80→100 + Tesla 100; i7: Tesla 100</t>
        </is>
      </c>
      <c r="J15" s="78" t="inlineStr">
        <is>
          <t>VERIFY</t>
        </is>
      </c>
      <c r="K15" s="78" t="inlineStr">
        <is>
          <t>Rear ambience / band-pass</t>
        </is>
      </c>
      <c r="L15" s="78" t="inlineStr">
        <is>
          <t>Added PAUDIO-only position</t>
        </is>
      </c>
    </row>
    <row r="16">
      <c r="A16" s="78" t="inlineStr">
        <is>
          <t>CH12</t>
        </is>
      </c>
      <c r="B16" s="78" t="n">
        <v>14</v>
      </c>
      <c r="C16" s="78" t="inlineStr">
        <is>
          <t>Headliner left</t>
        </is>
      </c>
      <c r="D16" s="78" t="inlineStr">
        <is>
          <t>X569</t>
        </is>
      </c>
      <c r="E16" s="78" t="inlineStr">
        <is>
          <t>Ci5 M50FM-S3</t>
        </is>
      </c>
      <c r="F16" s="78" t="inlineStr">
        <is>
          <t>Ci5 M50FM-S3</t>
        </is>
      </c>
      <c r="G16" s="78" t="inlineStr">
        <is>
          <t>3Ω</t>
        </is>
      </c>
      <c r="H16" s="78" t="inlineStr">
        <is>
          <t>Dedicated headliner channel</t>
        </is>
      </c>
      <c r="I16" s="78" t="inlineStr">
        <is>
          <t>Custom SOP9 FlexMount50/pigtail TBD</t>
        </is>
      </c>
      <c r="J16" s="78" t="inlineStr">
        <is>
          <t>VERIFY</t>
        </is>
      </c>
      <c r="K16" s="78" t="inlineStr">
        <is>
          <t>Wideband ambience; aggressive HP protection</t>
        </is>
      </c>
      <c r="L16" s="78" t="inlineStr">
        <is>
          <t>PAUDIO-only endpoint</t>
        </is>
      </c>
    </row>
    <row r="17">
      <c r="A17" s="86" t="inlineStr">
        <is>
          <t>CH13</t>
        </is>
      </c>
      <c r="B17" s="86" t="n">
        <v>1</v>
      </c>
      <c r="C17" s="86" t="inlineStr">
        <is>
          <t>Front left woofer</t>
        </is>
      </c>
      <c r="D17" s="86" t="inlineStr">
        <is>
          <t>X567</t>
        </is>
      </c>
      <c r="E17" s="86" t="inlineStr">
        <is>
          <t>Ci5 S200FM-S2</t>
        </is>
      </c>
      <c r="F17" s="86" t="inlineStr">
        <is>
          <t>Ci7 W200FM-S3</t>
        </is>
      </c>
      <c r="G17" s="86" t="inlineStr">
        <is>
          <t>i5 2Ω / i7 3Ω</t>
        </is>
      </c>
      <c r="H17" s="86" t="inlineStr">
        <is>
          <t>MANDATORY high-current bank for i5 2Ω; also logical for i7</t>
        </is>
      </c>
      <c r="I17" s="86" t="inlineStr">
        <is>
          <t>CFMK200 TES.1</t>
        </is>
      </c>
      <c r="J17" s="86" t="inlineStr">
        <is>
          <t>HIGH core mount / VERIFY connector</t>
        </is>
      </c>
      <c r="K17" s="86" t="inlineStr">
        <is>
          <t>Low-pass / time-align; integrate to Pioneer subs</t>
        </is>
      </c>
      <c r="L17" s="86" t="inlineStr">
        <is>
          <t>V EIGHTEEN CH13-18 rated 120W@2Ω</t>
        </is>
      </c>
    </row>
    <row r="18">
      <c r="A18" s="86" t="inlineStr">
        <is>
          <t>CH14</t>
        </is>
      </c>
      <c r="B18" s="86" t="n">
        <v>2</v>
      </c>
      <c r="C18" s="86" t="inlineStr">
        <is>
          <t>Front right woofer</t>
        </is>
      </c>
      <c r="D18" s="86" t="inlineStr">
        <is>
          <t>X577</t>
        </is>
      </c>
      <c r="E18" s="86" t="inlineStr">
        <is>
          <t>Ci5 S200FM-S2</t>
        </is>
      </c>
      <c r="F18" s="86" t="inlineStr">
        <is>
          <t>Ci7 W200FM-S3</t>
        </is>
      </c>
      <c r="G18" s="86" t="inlineStr">
        <is>
          <t>i5 2Ω / i7 3Ω</t>
        </is>
      </c>
      <c r="H18" s="86" t="inlineStr">
        <is>
          <t>MANDATORY high-current bank for i5 2Ω; also logical for i7</t>
        </is>
      </c>
      <c r="I18" s="86" t="inlineStr">
        <is>
          <t>CFMK200 TES.1</t>
        </is>
      </c>
      <c r="J18" s="86" t="inlineStr">
        <is>
          <t>HIGH core mount / VERIFY connector</t>
        </is>
      </c>
      <c r="K18" s="86" t="inlineStr">
        <is>
          <t>Low-pass / time-align; integrate to Pioneer subs</t>
        </is>
      </c>
      <c r="L18" s="86" t="inlineStr">
        <is>
          <t>V EIGHTEEN CH13-18 rated 120W@2Ω</t>
        </is>
      </c>
    </row>
    <row r="19">
      <c r="A19" s="78" t="inlineStr">
        <is>
          <t>CH15</t>
        </is>
      </c>
      <c r="B19" s="78" t="n">
        <v>15</v>
      </c>
      <c r="C19" s="78" t="inlineStr">
        <is>
          <t>Headliner right</t>
        </is>
      </c>
      <c r="D19" s="78" t="inlineStr">
        <is>
          <t>X579</t>
        </is>
      </c>
      <c r="E19" s="78" t="inlineStr">
        <is>
          <t>Ci5 M50FM-S3</t>
        </is>
      </c>
      <c r="F19" s="78" t="inlineStr">
        <is>
          <t>Ci5 M50FM-S3</t>
        </is>
      </c>
      <c r="G19" s="78" t="inlineStr">
        <is>
          <t>3Ω</t>
        </is>
      </c>
      <c r="H19" s="78" t="inlineStr">
        <is>
          <t>CH1-12 already allocated; CH15 available</t>
        </is>
      </c>
      <c r="I19" s="78" t="inlineStr">
        <is>
          <t>Custom SOP9 FlexMount50/pigtail TBD</t>
        </is>
      </c>
      <c r="J19" s="78" t="inlineStr">
        <is>
          <t>VERIFY</t>
        </is>
      </c>
      <c r="K19" s="78" t="inlineStr">
        <is>
          <t>Wideband ambience; aggressive HP protection</t>
        </is>
      </c>
      <c r="L19" s="78" t="inlineStr">
        <is>
          <t>PAUDIO-only endpoint</t>
        </is>
      </c>
    </row>
    <row r="20">
      <c r="A20" s="78" t="inlineStr">
        <is>
          <t>CH16</t>
        </is>
      </c>
      <c r="B20" s="78" t="n"/>
      <c r="C20" s="78" t="inlineStr">
        <is>
          <t>SPARE</t>
        </is>
      </c>
      <c r="D20" s="78" t="inlineStr">
        <is>
          <t>—</t>
        </is>
      </c>
      <c r="E20" s="78" t="inlineStr">
        <is>
          <t>—</t>
        </is>
      </c>
      <c r="F20" s="78" t="inlineStr">
        <is>
          <t>—</t>
        </is>
      </c>
      <c r="G20" s="78" t="inlineStr">
        <is>
          <t>—</t>
        </is>
      </c>
      <c r="H20" s="78" t="inlineStr">
        <is>
          <t>Reserved</t>
        </is>
      </c>
      <c r="I20" s="78" t="inlineStr">
        <is>
          <t>—</t>
        </is>
      </c>
      <c r="J20" s="78" t="inlineStr">
        <is>
          <t>SPARE</t>
        </is>
      </c>
      <c r="K20" s="78" t="inlineStr">
        <is>
          <t>Future</t>
        </is>
      </c>
      <c r="L20" s="78" t="inlineStr">
        <is>
          <t>3 spare amplified channels total</t>
        </is>
      </c>
    </row>
    <row r="21">
      <c r="A21" s="78" t="inlineStr">
        <is>
          <t>CH17</t>
        </is>
      </c>
      <c r="B21" s="78" t="n"/>
      <c r="C21" s="78" t="inlineStr">
        <is>
          <t>SPARE</t>
        </is>
      </c>
      <c r="D21" s="78" t="inlineStr">
        <is>
          <t>—</t>
        </is>
      </c>
      <c r="E21" s="78" t="inlineStr">
        <is>
          <t>—</t>
        </is>
      </c>
      <c r="F21" s="78" t="inlineStr">
        <is>
          <t>—</t>
        </is>
      </c>
      <c r="G21" s="78" t="inlineStr">
        <is>
          <t>—</t>
        </is>
      </c>
      <c r="H21" s="78" t="inlineStr">
        <is>
          <t>Reserved</t>
        </is>
      </c>
      <c r="I21" s="78" t="inlineStr">
        <is>
          <t>—</t>
        </is>
      </c>
      <c r="J21" s="78" t="inlineStr">
        <is>
          <t>SPARE</t>
        </is>
      </c>
      <c r="K21" s="78" t="inlineStr">
        <is>
          <t>Future</t>
        </is>
      </c>
      <c r="L21" s="78" t="inlineStr">
        <is>
          <t>3 spare amplified channels total</t>
        </is>
      </c>
    </row>
    <row r="22">
      <c r="A22" s="78" t="inlineStr">
        <is>
          <t>CH18</t>
        </is>
      </c>
      <c r="B22" s="78" t="n"/>
      <c r="C22" s="78" t="inlineStr">
        <is>
          <t>SPARE</t>
        </is>
      </c>
      <c r="D22" s="78" t="inlineStr">
        <is>
          <t>—</t>
        </is>
      </c>
      <c r="E22" s="78" t="inlineStr">
        <is>
          <t>—</t>
        </is>
      </c>
      <c r="F22" s="78" t="inlineStr">
        <is>
          <t>—</t>
        </is>
      </c>
      <c r="G22" s="78" t="inlineStr">
        <is>
          <t>—</t>
        </is>
      </c>
      <c r="H22" s="78" t="inlineStr">
        <is>
          <t>Reserved</t>
        </is>
      </c>
      <c r="I22" s="78" t="inlineStr">
        <is>
          <t>—</t>
        </is>
      </c>
      <c r="J22" s="78" t="inlineStr">
        <is>
          <t>SPARE</t>
        </is>
      </c>
      <c r="K22" s="78" t="inlineStr">
        <is>
          <t>Future</t>
        </is>
      </c>
      <c r="L22" s="78" t="inlineStr">
        <is>
          <t>3 spare amplified channels total</t>
        </is>
      </c>
    </row>
    <row r="23">
      <c r="A23" s="82" t="inlineStr">
        <is>
          <t>RCA OUT 1/2</t>
        </is>
      </c>
      <c r="B23" s="82" t="inlineStr">
        <is>
          <t>S1/S2</t>
        </is>
      </c>
      <c r="C23" s="82" t="inlineStr">
        <is>
          <t>Retained Pioneer sub subsystem</t>
        </is>
      </c>
      <c r="D23" s="82" t="inlineStr">
        <is>
          <t>—</t>
        </is>
      </c>
      <c r="E23" s="82" t="inlineStr">
        <is>
          <t>Pioneer TS-WX1220AH donor amp</t>
        </is>
      </c>
      <c r="F23" s="82" t="inlineStr">
        <is>
          <t>Pioneer TS-WX1220AH donor amp</t>
        </is>
      </c>
      <c r="G23" s="82" t="inlineStr">
        <is>
          <t>Low-level RCA</t>
        </is>
      </c>
      <c r="H23" s="82" t="inlineStr">
        <is>
          <t>Processed DSP outputs 19/20 remain available</t>
        </is>
      </c>
      <c r="I23" s="82" t="inlineStr">
        <is>
          <t>RCA to remote Pioneer amp</t>
        </is>
      </c>
      <c r="J23" s="82" t="inlineStr">
        <is>
          <t>POWER BLOCKER</t>
        </is>
      </c>
      <c r="K23" s="82" t="inlineStr">
        <is>
          <t>Sub LPF / phase / delay set in V EIGHTEEN</t>
        </is>
      </c>
      <c r="L23" s="82" t="inlineStr">
        <is>
          <t>Pioneer supply still requires 15.1V compatibility decision</t>
        </is>
      </c>
    </row>
  </sheetData>
  <autoFilter ref="A4:L23"/>
  <mergeCells count="2">
    <mergeCell ref="A2:L2"/>
    <mergeCell ref="A1:L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showGridLines="0" workbookViewId="0">
      <selection activeCell="A1" sqref="A1"/>
    </sheetView>
  </sheetViews>
  <sheetFormatPr baseColWidth="8" defaultRowHeight="15"/>
  <cols>
    <col width="22" customWidth="1" min="1" max="1"/>
    <col width="32" customWidth="1" min="2" max="2"/>
    <col width="28" customWidth="1" min="3" max="3"/>
    <col width="14" customWidth="1" min="4" max="4"/>
    <col width="14" customWidth="1" min="5" max="5"/>
    <col width="36" customWidth="1" min="6" max="6"/>
    <col width="20" customWidth="1" min="7" max="7"/>
    <col width="35" customWidth="1" min="8" max="8"/>
    <col width="37" customWidth="1" min="9" max="9"/>
    <col width="16" customWidth="1" min="10" max="10"/>
  </cols>
  <sheetData>
    <row r="1" ht="28" customHeight="1">
      <c r="A1" s="1" t="inlineStr">
        <is>
          <t>Architectuurvergelijking</t>
        </is>
      </c>
    </row>
    <row r="2" ht="30" customHeight="1">
      <c r="A2" s="2" t="inlineStr">
        <is>
          <t>Waarom v1.0 Audison aanbeveelt, plus PnP en high-channel alternatieven.</t>
        </is>
      </c>
    </row>
    <row r="4">
      <c r="A4" s="14" t="inlineStr">
        <is>
          <t>Option</t>
        </is>
      </c>
      <c r="B4" s="14" t="inlineStr">
        <is>
          <t>DSP/Amp</t>
        </is>
      </c>
      <c r="C4" s="14" t="inlineStr">
        <is>
          <t>Display</t>
        </is>
      </c>
      <c r="D4" s="14" t="inlineStr">
        <is>
          <t>Amp channels</t>
        </is>
      </c>
      <c r="E4" s="14" t="inlineStr">
        <is>
          <t>DSP channels</t>
        </is>
      </c>
      <c r="F4" s="14" t="inlineStr">
        <is>
          <t>Tesla harness</t>
        </is>
      </c>
      <c r="G4" s="14" t="inlineStr">
        <is>
          <t>Estimated system total</t>
        </is>
      </c>
      <c r="H4" s="14" t="inlineStr">
        <is>
          <t>Strength</t>
        </is>
      </c>
      <c r="I4" s="14" t="inlineStr">
        <is>
          <t>Trade-off</t>
        </is>
      </c>
      <c r="J4" s="14" t="inlineStr">
        <is>
          <t>Recommendation</t>
        </is>
      </c>
    </row>
    <row r="5">
      <c r="A5" s="37" t="inlineStr">
        <is>
          <t>A – Recommended</t>
        </is>
      </c>
      <c r="B5" s="37" t="inlineStr">
        <is>
          <t>Audison AF M12.14 bit €1,290</t>
        </is>
      </c>
      <c r="C5" s="37" t="inlineStr">
        <is>
          <t>DRC MP CAN OLED €179</t>
        </is>
      </c>
      <c r="D5" s="37" t="n">
        <v>12</v>
      </c>
      <c r="E5" s="37" t="n">
        <v>14</v>
      </c>
      <c r="F5" s="37" t="inlineStr">
        <is>
          <t>PP-TES donor/interposer; Audison-side custom</t>
        </is>
      </c>
      <c r="G5" s="38">
        <f>BOM_Recommended!N16</f>
        <v/>
      </c>
      <c r="H5" s="37" t="inlineStr">
        <is>
          <t>Best channel count / budget; 6 DSP outputs for Pioneer</t>
        </is>
      </c>
      <c r="I5" s="37" t="inlineStr">
        <is>
          <t>Not direct plug-and-play to Audison</t>
        </is>
      </c>
      <c r="J5" s="78" t="inlineStr">
        <is>
          <t>BEST FIT | SOP9 v1.3: PAUDIO-only headliners remove the prior assumption of free OEM headliner channels; AUX/grouping may be required.</t>
        </is>
      </c>
    </row>
    <row r="6">
      <c r="A6" s="15" t="inlineStr">
        <is>
          <t>B – Maximum PnP</t>
        </is>
      </c>
      <c r="B6" s="15" t="inlineStr">
        <is>
          <t>MATCH UP 10DSP MK2 €1,049</t>
        </is>
      </c>
      <c r="C6" s="15" t="inlineStr">
        <is>
          <t>HELIX DIRECTOR touchscreen €299</t>
        </is>
      </c>
      <c r="D6" s="15" t="n">
        <v>10</v>
      </c>
      <c r="E6" s="15" t="n">
        <v>11</v>
      </c>
      <c r="F6" s="15" t="inlineStr">
        <is>
          <t>PP-TES 1.7B direct PnP</t>
        </is>
      </c>
      <c r="G6" s="17">
        <f>BOM_Recommended!N16-1290-179+1049+299</f>
        <v/>
      </c>
      <c r="H6" s="15" t="inlineStr">
        <is>
          <t>Factory harness compatibility; easiest DIY</t>
        </is>
      </c>
      <c r="I6" s="15" t="inlineStr">
        <is>
          <t>Only 10 amp channels; more OEM/passive grouping needed</t>
        </is>
      </c>
      <c r="J6" s="78" t="inlineStr">
        <is>
          <t>SECOND | SOP9 v1.3: PAUDIO-only headliners remove the prior assumption of free OEM headliner channels; AUX/grouping may be required.</t>
        </is>
      </c>
    </row>
    <row r="7">
      <c r="A7" s="39" t="inlineStr">
        <is>
          <t>C – High channel new</t>
        </is>
      </c>
      <c r="B7" s="39" t="inlineStr">
        <is>
          <t>HELIX V TWELVE DSP MK2 €1,499</t>
        </is>
      </c>
      <c r="C7" s="39" t="inlineStr">
        <is>
          <t>HELIX DIRECTOR €299</t>
        </is>
      </c>
      <c r="D7" s="39" t="n">
        <v>12</v>
      </c>
      <c r="E7" s="39" t="n">
        <v>14</v>
      </c>
      <c r="F7" s="39" t="inlineStr">
        <is>
          <t>Custom / adapted Tesla interposer</t>
        </is>
      </c>
      <c r="G7" s="40">
        <f>BOM_Recommended!N16-1290-179+1499+299</f>
        <v/>
      </c>
      <c r="H7" s="39" t="inlineStr">
        <is>
          <t>Excellent DSP + 12 channels</t>
        </is>
      </c>
      <c r="I7" s="39" t="inlineStr">
        <is>
          <t>Typically exceeds €3,500 after wiring/adapters</t>
        </is>
      </c>
      <c r="J7" s="78" t="inlineStr">
        <is>
          <t>OVER BUDGET | SOP9 v1.3: PAUDIO-only headliners remove the prior assumption of free OEM headliner channels; AUX/grouping may be required.</t>
        </is>
      </c>
    </row>
    <row r="8">
      <c r="A8" s="15" t="inlineStr">
        <is>
          <t>D – Used high channel</t>
        </is>
      </c>
      <c r="B8" s="15" t="inlineStr">
        <is>
          <t>HELIX V TWELVE DSP MK2 used €1,200–1,250</t>
        </is>
      </c>
      <c r="C8" s="15" t="inlineStr">
        <is>
          <t>HELIX DIRECTOR €299</t>
        </is>
      </c>
      <c r="D8" s="15" t="n">
        <v>12</v>
      </c>
      <c r="E8" s="15" t="n">
        <v>14</v>
      </c>
      <c r="F8" s="15" t="inlineStr">
        <is>
          <t>Custom / adapted Tesla interposer</t>
        </is>
      </c>
      <c r="G8" s="17">
        <f>BOM_Recommended!N16-1290-179+1225+299</f>
        <v/>
      </c>
      <c r="H8" s="15" t="inlineStr">
        <is>
          <t>High-end within budget if good used unit found</t>
        </is>
      </c>
      <c r="I8" s="15" t="inlineStr">
        <is>
          <t>Used hardware / warranty risk</t>
        </is>
      </c>
      <c r="J8" s="78" t="inlineStr">
        <is>
          <t>OPTIONAL | SOP9 v1.3: PAUDIO-only headliners remove the prior assumption of free OEM headliner channels; AUX/grouping may be required.</t>
        </is>
      </c>
    </row>
    <row r="9">
      <c r="A9" s="15" t="inlineStr">
        <is>
          <t>E – Full-active high channel</t>
        </is>
      </c>
      <c r="B9" s="15" t="inlineStr">
        <is>
          <t>HELIX V EIGHTEEN DSP €1,799</t>
        </is>
      </c>
      <c r="C9" s="15" t="inlineStr">
        <is>
          <t>HELIX DIRECTOR €299</t>
        </is>
      </c>
      <c r="D9" s="15" t="n">
        <v>18</v>
      </c>
      <c r="E9" s="15" t="n">
        <v>20</v>
      </c>
      <c r="F9" s="15" t="inlineStr">
        <is>
          <t>Custom / adapted Tesla interposer</t>
        </is>
      </c>
      <c r="G9" s="17">
        <f>BOM_Recommended!N16-1290-179+1799+299</f>
        <v/>
      </c>
      <c r="H9" s="15" t="inlineStr">
        <is>
          <t>All 15 cabin positions can be individually amplified/DSP-routed with channel reserve</t>
        </is>
      </c>
      <c r="I9" s="15" t="inlineStr">
        <is>
          <t>About €522 above current €3,500 cap before any speaker/shop savings</t>
        </is>
      </c>
      <c r="J9" s="15" t="inlineStr">
        <is>
          <t>PREMIUM / OVER BUDGET</t>
        </is>
      </c>
    </row>
    <row r="10">
      <c r="A10" s="15" t="inlineStr">
        <is>
          <t>F – PowerBass price route (exploratory)</t>
        </is>
      </c>
      <c r="B10" s="15" t="inlineStr">
        <is>
          <t>PowerBass T3Y core + existing DSP choice</t>
        </is>
      </c>
      <c r="C10" s="15" t="inlineStr">
        <is>
          <t>Depends on DSP architecture</t>
        </is>
      </c>
      <c r="D10" s="15" t="inlineStr"/>
      <c r="E10" s="15" t="inlineStr"/>
      <c r="F10" s="15" t="inlineStr">
        <is>
          <t>SOP9 connector/layout verification required</t>
        </is>
      </c>
      <c r="G10" s="17" t="inlineStr"/>
      <c r="H10" s="15" t="inlineStr">
        <is>
          <t>Potentially lower speaker spend; explicit Highland fitment exists for T3Y family</t>
        </is>
      </c>
      <c r="I10" s="15" t="inlineStr">
        <is>
          <t>Exact 15-position completion and West-EU retail availability not yet proven</t>
        </is>
      </c>
      <c r="J10" s="15" t="inlineStr">
        <is>
          <t>RESEARCH ONLY</t>
        </is>
      </c>
    </row>
    <row r="11">
      <c r="A11" s="86" t="inlineStr">
        <is>
          <t>G – Full HELIX i5-priority</t>
        </is>
      </c>
      <c r="B11" s="86" t="inlineStr">
        <is>
          <t>HELIX V EIGHTEEN DSP €1,799</t>
        </is>
      </c>
      <c r="C11" s="86" t="inlineStr">
        <is>
          <t>HELIX DIRECTOR €299</t>
        </is>
      </c>
      <c r="D11" s="86" t="n">
        <v>18</v>
      </c>
      <c r="E11" s="86" t="n">
        <v>20</v>
      </c>
      <c r="F11" s="86" t="inlineStr">
        <is>
          <t>PP-TES donor → custom V EIGHTEEN interposer</t>
        </is>
      </c>
      <c r="G11" s="88">
        <f>'HELIX_i5_Setup'!B29</f>
        <v/>
      </c>
      <c r="H11" s="86" t="inlineStr">
        <is>
          <t>Best full-HELIX price/performance; i5 shallow/high-excursion woofer, 15 dedicated channels</t>
        </is>
      </c>
      <c r="I11" s="86" t="inlineStr">
        <is>
          <t>More 80→100 adapter layers; not literally all i5 because Tesla-compatible tweeter/center sizing</t>
        </is>
      </c>
      <c r="J11" s="86" t="inlineStr">
        <is>
          <t>NEW STRONG CANDIDATE — VALUE FULL HELIX</t>
        </is>
      </c>
    </row>
    <row r="12">
      <c r="A12" s="86" t="inlineStr">
        <is>
          <t>H – Full HELIX i7-priority</t>
        </is>
      </c>
      <c r="B12" s="86" t="inlineStr">
        <is>
          <t>HELIX V EIGHTEEN DSP €1,799</t>
        </is>
      </c>
      <c r="C12" s="86" t="inlineStr">
        <is>
          <t>HELIX DIRECTOR €299</t>
        </is>
      </c>
      <c r="D12" s="86" t="n">
        <v>18</v>
      </c>
      <c r="E12" s="86" t="n">
        <v>20</v>
      </c>
      <c r="F12" s="86" t="inlineStr">
        <is>
          <t>PP-TES donor → custom V EIGHTEEN interposer</t>
        </is>
      </c>
      <c r="G12" s="88">
        <f>'HELIX_i7_Setup'!B29</f>
        <v/>
      </c>
      <c r="H12" s="86" t="inlineStr">
        <is>
          <t>Premium full-HELIX route; i7 W200/M100/T20 where available, 15 dedicated channels</t>
        </is>
      </c>
      <c r="I12" s="86" t="inlineStr">
        <is>
          <t>About €750 above i5-priority before custom install; i5 M80/M50 still required where i7 has no matching size</t>
        </is>
      </c>
      <c r="J12" s="86" t="inlineStr">
        <is>
          <t>NEW PREMIUM CANDIDATE — MAX CABIN QUALITY</t>
        </is>
      </c>
    </row>
    <row r="13"/>
    <row r="14"/>
    <row r="15">
      <c r="A15" s="11" t="inlineStr">
        <is>
          <t>Evidence / notes</t>
        </is>
      </c>
    </row>
    <row r="16">
      <c r="A16" s="41" t="inlineStr">
        <is>
          <t>MATCH PP-TES 1.7B Highland is officially for Ryzen + standard audio Model 3 Highland from MY 10/2023 and MATCH UP10; using it with Audison requires repinning only the purchased harness, not the Tesla vehicle wiring.</t>
        </is>
      </c>
    </row>
    <row r="17">
      <c r="A17" s="42" t="inlineStr">
        <is>
          <t>Audison official Tesla Sound Pack is currently NOT Highland-compatible; this BOM therefore does not claim the Audison Tesla kit/harness is compatible. It uses the universal AF M12.14 bit with a custom interposer.</t>
        </is>
      </c>
    </row>
    <row r="18">
      <c r="A18" s="42" t="inlineStr">
        <is>
          <t>China: a verified one-off retail SOP9 15-speaker + DSP/display package was not found. Made-in-China results are wholesale/OEM and not suitable as a direct retail substitute.</t>
        </is>
      </c>
    </row>
    <row r="19">
      <c r="A19" s="41" t="inlineStr">
        <is>
          <t>2026-09-02 correction: V EIGHTEEN and PowerBass are comparison routes only; they do not replace the Audison BEST FIT recommendation without a new decision.</t>
        </is>
      </c>
    </row>
    <row r="21">
      <c r="A21" s="179" t="inlineStr">
        <is>
          <t>v2.1 NOTE</t>
        </is>
      </c>
    </row>
    <row r="22">
      <c r="A22" s="42" t="inlineStr">
        <is>
          <t>Historical/comparison content retained. Current received MB proposal is authoritative in MB_Quote_2026-09-10 / MBC_Shopping_List and MB_Channel_Map_v2.1.</t>
        </is>
      </c>
    </row>
  </sheetData>
  <mergeCells count="5">
    <mergeCell ref="A14:J14"/>
    <mergeCell ref="A17:J17"/>
    <mergeCell ref="A2:H2"/>
    <mergeCell ref="A1:H1"/>
    <mergeCell ref="A13:J1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3"/>
  <sheetViews>
    <sheetView showGridLines="0" workbookViewId="0">
      <pane ySplit="4" topLeftCell="A5" activePane="bottomLeft" state="frozen"/>
      <selection pane="bottomLeft" activeCell="A1" sqref="A1"/>
    </sheetView>
  </sheetViews>
  <sheetFormatPr baseColWidth="8" defaultRowHeight="15"/>
  <cols>
    <col width="24" customWidth="1" min="1" max="1"/>
    <col width="48" customWidth="1" min="2" max="2"/>
    <col width="42" customWidth="1" min="3" max="3"/>
    <col width="24" customWidth="1" min="4" max="4"/>
    <col width="55" customWidth="1" min="5" max="5"/>
    <col width="60" customWidth="1" min="6" max="6"/>
  </cols>
  <sheetData>
    <row r="1">
      <c r="A1" s="93" t="inlineStr">
        <is>
          <t>Pioneer TS-WX1220AH donor subsystem — custom Tesla lower-trunk installation + replacement-amplifier options</t>
        </is>
      </c>
    </row>
    <row r="2">
      <c r="A2" s="94" t="inlineStr">
        <is>
          <t>This sheet documents the existing hardware actually reused. It intentionally does not treat the original Pioneer enclosure performance as the performance of the new Tesla installation.</t>
        </is>
      </c>
    </row>
    <row r="4">
      <c r="A4" s="76" t="inlineStr">
        <is>
          <t>Item</t>
        </is>
      </c>
      <c r="B4" s="76" t="inlineStr">
        <is>
          <t>Installed / retained configuration</t>
        </is>
      </c>
      <c r="C4" s="76" t="inlineStr">
        <is>
          <t>Official donor specification</t>
        </is>
      </c>
      <c r="D4" s="76" t="inlineStr">
        <is>
          <t>Current status</t>
        </is>
      </c>
      <c r="E4" s="76" t="inlineStr">
        <is>
          <t>Design implication</t>
        </is>
      </c>
      <c r="F4" s="76" t="inlineStr">
        <is>
          <t>Source URL</t>
        </is>
      </c>
    </row>
    <row r="5">
      <c r="A5" s="15" t="inlineStr">
        <is>
          <t>Donor model</t>
        </is>
      </c>
      <c r="B5" s="15" t="inlineStr">
        <is>
          <t>Pioneer TS-WX1220AH</t>
        </is>
      </c>
      <c r="C5" s="15" t="inlineStr">
        <is>
          <t>Active Class-D bass-reflex system with 2 × 30 cm drivers</t>
        </is>
      </c>
      <c r="D5" s="86" t="inlineStr">
        <is>
          <t>RETAINED AS DONOR HARDWARE</t>
        </is>
      </c>
      <c r="E5" s="15" t="inlineStr">
        <is>
          <t>Use donor components only; do not depict original enclosure</t>
        </is>
      </c>
      <c r="F5" s="95" t="inlineStr">
        <is>
          <t>https://pioneer-car.eu/ts-wx1220ah/ts-wx1220ah</t>
        </is>
      </c>
    </row>
    <row r="6">
      <c r="A6" s="15" t="inlineStr">
        <is>
          <t>Woofer drivers</t>
        </is>
      </c>
      <c r="B6" s="15" t="inlineStr">
        <is>
          <t>2 × original 30 cm / 12-inch drivers</t>
        </is>
      </c>
      <c r="C6" s="15" t="inlineStr">
        <is>
          <t>1000 W RMS / 3000 W max donor-system rating</t>
        </is>
      </c>
      <c r="D6" s="86" t="inlineStr">
        <is>
          <t>INSTALLED / RETAINED</t>
        </is>
      </c>
      <c r="E6" s="15" t="inlineStr">
        <is>
          <t>Mounted in custom rigid baffle/lid at lower extra trunk storage</t>
        </is>
      </c>
      <c r="F6" s="95" t="inlineStr">
        <is>
          <t>https://pioneer-car.eu/asset/installation_manuals/UPLOAD_ID_28783/bb886d2a0df764bbfca7a2d7de1562b67e31f364/</t>
        </is>
      </c>
    </row>
    <row r="7">
      <c r="A7" s="15" t="inlineStr">
        <is>
          <t>Original enclosure</t>
        </is>
      </c>
      <c r="B7" s="15" t="inlineStr">
        <is>
          <t>Not used</t>
        </is>
      </c>
      <c r="C7" s="15" t="inlineStr">
        <is>
          <t>Bass-reflex enclosure was part of published product performance</t>
        </is>
      </c>
      <c r="D7" s="15" t="inlineStr">
        <is>
          <t>DISCARDED / NOT USED</t>
        </is>
      </c>
      <c r="E7" s="15" t="inlineStr">
        <is>
          <t>Published complete-system frequency response and sensitivity are not transferable</t>
        </is>
      </c>
      <c r="F7" s="95" t="inlineStr">
        <is>
          <t>https://pioneer-car.eu/ts-wx1220ah/ts-wx1220ah</t>
        </is>
      </c>
    </row>
    <row r="8">
      <c r="A8" s="15" t="inlineStr">
        <is>
          <t>Class-D amplifier</t>
        </is>
      </c>
      <c r="B8" s="15" t="inlineStr">
        <is>
          <t>Original Pioneer amplifier removed from enclosure; remote-mounted behind trunk wheel-arch side trim near OEM Premium amp area</t>
        </is>
      </c>
      <c r="C8" s="15" t="inlineStr">
        <is>
          <t>600 W RMS / 1200 W max</t>
        </is>
      </c>
      <c r="D8" s="86" t="inlineStr">
        <is>
          <t>RETAINED / REMOTE-MOUNTED</t>
        </is>
      </c>
      <c r="E8" s="15" t="inlineStr">
        <is>
          <t>Feed from DSP low-level/RCA output</t>
        </is>
      </c>
      <c r="F8" s="95" t="inlineStr">
        <is>
          <t>https://pioneer-car.eu/asset/installation_manuals/UPLOAD_ID_28783/bb886d2a0df764bbfca7a2d7de1562b67e31f364/</t>
        </is>
      </c>
    </row>
    <row r="9">
      <c r="A9" s="82" t="inlineStr">
        <is>
          <t>Amplifier supply</t>
        </is>
      </c>
      <c r="B9" s="82" t="inlineStr">
        <is>
          <t>Tesla high-current LV source → dedicated fuse → field-proven SSR/inrush switching path → separate voltage compatibility/regulation gate → Pioneer amp</t>
        </is>
      </c>
      <c r="C9" s="82" t="inlineStr">
        <is>
          <t>14.4 V nominal; 10.8–15.1 V allowable</t>
        </is>
      </c>
      <c r="D9" s="82" t="inlineStr">
        <is>
          <t>TWO SEPARATE GATES</t>
        </is>
      </c>
      <c r="E9" s="82" t="inlineStr">
        <is>
          <t>Previous Tesla: SSR-based switching solved VCFRONT / “cannot maintain DC power” behavior. Separately verify whether the Pioneer amp may be exposed above its 15.1 V limit.</t>
        </is>
      </c>
      <c r="F9" s="96" t="inlineStr">
        <is>
          <t>https://pioneer-car.eu/asset/installation_manuals/UPLOAD_ID_28783/bb886d2a0df764bbfca7a2d7de1562b67e31f364/</t>
        </is>
      </c>
    </row>
    <row r="10">
      <c r="A10" s="15" t="inlineStr">
        <is>
          <t>Maximum current</t>
        </is>
      </c>
      <c r="B10" s="15" t="inlineStr">
        <is>
          <t>Dedicated subwoofer power branch</t>
        </is>
      </c>
      <c r="C10" s="15" t="inlineStr">
        <is>
          <t>50 A max current</t>
        </is>
      </c>
      <c r="D10" s="86" t="inlineStr">
        <is>
          <t>VERIFIED DONOR SPEC</t>
        </is>
      </c>
      <c r="E10" s="15" t="inlineStr">
        <is>
          <t>Power conversion/fuse/cable solution must be engineered for current and thermal load</t>
        </is>
      </c>
      <c r="F10" s="95" t="inlineStr">
        <is>
          <t>https://pioneer-car.eu/asset/installation_manuals/UPLOAD_ID_28783/bb886d2a0df764bbfca7a2d7de1562b67e31f364/</t>
        </is>
      </c>
    </row>
    <row r="11">
      <c r="A11" s="15" t="inlineStr">
        <is>
          <t>Fuse reference</t>
        </is>
      </c>
      <c r="B11" s="15" t="inlineStr">
        <is>
          <t>Dedicated Pioneer branch</t>
        </is>
      </c>
      <c r="C11" s="15" t="inlineStr">
        <is>
          <t>Pioneer installation example specifies 80 A fuse</t>
        </is>
      </c>
      <c r="D11" s="86" t="inlineStr">
        <is>
          <t>VERIFIED DONOR SPEC</t>
        </is>
      </c>
      <c r="E11" s="15" t="inlineStr">
        <is>
          <t>Follow final converter/amplifier manufacturer rules; do not share undersized cabin-DSP branch</t>
        </is>
      </c>
      <c r="F11" s="95" t="inlineStr">
        <is>
          <t>https://pioneer-car.eu/asset/installation_manuals/UPLOAD_ID_28783/bb886d2a0df764bbfca7a2d7de1562b67e31f364/</t>
        </is>
      </c>
    </row>
    <row r="12">
      <c r="A12" s="15" t="inlineStr">
        <is>
          <t>Ground</t>
        </is>
      </c>
      <c r="B12" s="15" t="inlineStr">
        <is>
          <t>Short chassis ground near remote amplifier</t>
        </is>
      </c>
      <c r="C12" s="15" t="inlineStr">
        <is>
          <t>Negative ground</t>
        </is>
      </c>
      <c r="D12" s="86" t="inlineStr">
        <is>
          <t>VERIFIED DONOR SPEC</t>
        </is>
      </c>
      <c r="E12" s="15" t="inlineStr">
        <is>
          <t>Use appropriate structural ground and matching cable gauge</t>
        </is>
      </c>
      <c r="F12" s="95" t="inlineStr">
        <is>
          <t>https://pioneer-car.eu/asset/installation_manuals/UPLOAD_ID_28783/bb886d2a0df764bbfca7a2d7de1562b67e31f364/</t>
        </is>
      </c>
    </row>
    <row r="13">
      <c r="A13" s="15" t="inlineStr">
        <is>
          <t>RCA input</t>
        </is>
      </c>
      <c r="B13" s="15" t="inlineStr">
        <is>
          <t>DSP subwoofer line output → RCA → Pioneer amp</t>
        </is>
      </c>
      <c r="C13" s="15" t="inlineStr">
        <is>
          <t>100 mV + 100 mV / 22 kΩ at max gain</t>
        </is>
      </c>
      <c r="D13" s="15" t="inlineStr">
        <is>
          <t>PREFERRED SIGNAL ROUTE</t>
        </is>
      </c>
      <c r="E13" s="15" t="inlineStr">
        <is>
          <t>Avoid speaker-level integration when a dedicated DSP pre-out is available</t>
        </is>
      </c>
      <c r="F13" s="95" t="inlineStr">
        <is>
          <t>https://pioneer-car.eu/asset/installation_manuals/UPLOAD_ID_28783/bb886d2a0df764bbfca7a2d7de1562b67e31f364/</t>
        </is>
      </c>
    </row>
    <row r="14">
      <c r="A14" s="15" t="inlineStr">
        <is>
          <t>Speaker-level input</t>
        </is>
      </c>
      <c r="B14" s="15" t="inlineStr">
        <is>
          <t>Available but not preferred in proposed architecture</t>
        </is>
      </c>
      <c r="C14" s="15" t="inlineStr">
        <is>
          <t>2 V + 2 V / 5 kΩ</t>
        </is>
      </c>
      <c r="D14" s="15" t="inlineStr">
        <is>
          <t>REFERENCE ONLY</t>
        </is>
      </c>
      <c r="E14" s="15" t="inlineStr">
        <is>
          <t>Keep as fallback/reference</t>
        </is>
      </c>
      <c r="F14" s="95" t="inlineStr">
        <is>
          <t>https://pioneer-car.eu/asset/installation_manuals/UPLOAD_ID_28783/bb886d2a0df764bbfca7a2d7de1562b67e31f364/</t>
        </is>
      </c>
    </row>
    <row r="15">
      <c r="A15" s="15" t="inlineStr">
        <is>
          <t>Tesla low-voltage system</t>
        </is>
      </c>
      <c r="B15" s="15" t="inlineStr">
        <is>
          <t>Vehicle source side</t>
        </is>
      </c>
      <c r="C15" s="15" t="inlineStr">
        <is>
          <t>15.5 V published</t>
        </is>
      </c>
      <c r="D15" s="86" t="inlineStr">
        <is>
          <t>VERIFIED VEHICLE SPEC</t>
        </is>
      </c>
      <c r="E15" s="15" t="inlineStr">
        <is>
          <t>Potentially above Pioneer 15.1 V max; requires measurement/compatibility decision</t>
        </is>
      </c>
      <c r="F15" s="95" t="inlineStr">
        <is>
          <t>https://www.tesla.com/ownersmanual/model3/nl_nl/GUID-E414862C-CFA1-4A0B-9548-BE21C32CAA58.html</t>
        </is>
      </c>
    </row>
    <row r="16">
      <c r="A16" s="15" t="inlineStr">
        <is>
          <t>Acoustic behavior</t>
        </is>
      </c>
      <c r="B16" s="15" t="inlineStr">
        <is>
          <t>Custom lower-trunk cavity / baffle</t>
        </is>
      </c>
      <c r="C16" s="15" t="inlineStr">
        <is>
          <t>Original published 20 Hz–2.9 kHz and sensitivity belong to original complete enclosure/system</t>
        </is>
      </c>
      <c r="D16" s="15" t="inlineStr">
        <is>
          <t>RE-TUNE REQUIRED</t>
        </is>
      </c>
      <c r="E16" s="15" t="inlineStr">
        <is>
          <t>Tune DSP only after installed cavity volume, sealing, rigidity and cabin response are measured</t>
        </is>
      </c>
      <c r="F16" s="95" t="inlineStr">
        <is>
          <t>https://pioneer-car.eu/ts-wx1220ah/ts-wx1220ah</t>
        </is>
      </c>
    </row>
    <row r="18">
      <c r="A18" s="76" t="inlineStr">
        <is>
          <t>POWER DECISION GATE</t>
        </is>
      </c>
    </row>
    <row r="19">
      <c r="A19" s="35" t="inlineStr">
        <is>
          <t>Known</t>
        </is>
      </c>
      <c r="B19" s="15" t="inlineStr">
        <is>
          <t>Tesla owner manual lists 15.5 V LV; Pioneer permits 10.8–15.1 V and 50 A max current.</t>
        </is>
      </c>
    </row>
    <row r="20">
      <c r="A20" s="35" t="inlineStr">
        <is>
          <t>Unknown</t>
        </is>
      </c>
      <c r="B20" s="78" t="inlineStr">
        <is>
          <t>Actual SOP9 voltage at the intended amplifier feed point across operating/charging states.</t>
        </is>
      </c>
    </row>
    <row r="21">
      <c r="A21" s="35" t="inlineStr">
        <is>
          <t>Required</t>
        </is>
      </c>
      <c r="B21" s="78" t="inlineStr">
        <is>
          <t>Measure/verify source range before connecting Pioneer amp. If &gt;15.1 V is possible at amp input, specify a regulated high-current step-down stage with adequate continuous/transient/thermal margin.</t>
        </is>
      </c>
    </row>
    <row r="22">
      <c r="A22" s="35" t="inlineStr">
        <is>
          <t>Do not assume</t>
        </is>
      </c>
      <c r="B22" s="15" t="inlineStr">
        <is>
          <t>A converter model, fuse topology downstream of a converter, wire gauge, efficiency or thermal solution until the final power architecture is engineered.</t>
        </is>
      </c>
    </row>
    <row r="24">
      <c r="A24" s="76" t="inlineStr">
        <is>
          <t>FIELD-PROVEN INRUSH / SWITCHING NOTE</t>
        </is>
      </c>
    </row>
    <row r="25">
      <c r="A25" s="120" t="inlineStr">
        <is>
          <t>Previous Tesla behavior</t>
        </is>
      </c>
      <c r="B25" s="120" t="inlineStr">
        <is>
          <t>Direct amplifier feed triggered VCFRONT / “cannot maintain DC power”; SSR-based switching made the installation operate correctly.</t>
        </is>
      </c>
      <c r="C25" s="120" t="inlineStr">
        <is>
          <t>User field experience</t>
        </is>
      </c>
      <c r="D25" s="120" t="inlineStr">
        <is>
          <t>REUSE CONCEPT</t>
        </is>
      </c>
      <c r="E25" s="120" t="inlineStr">
        <is>
          <t>Keep SSR/inrush function in SOP9 design, but exact relay model, trigger logic and any precharge/current-limiting values must be recovered/verified.</t>
        </is>
      </c>
      <c r="F25" s="120" t="inlineStr">
        <is>
          <t>User-provided installation history</t>
        </is>
      </c>
    </row>
    <row r="26">
      <c r="A26" s="120" t="inlineStr">
        <is>
          <t>Voltage remains separate</t>
        </is>
      </c>
      <c r="B26" s="120" t="inlineStr">
        <is>
          <t>SSR is a switching/inrush-management component in the proven architecture; it is not treated as a voltage regulator.</t>
        </is>
      </c>
      <c r="C26" s="120" t="inlineStr">
        <is>
          <t>Tesla ≈15.5 V vs Pioneer 15.1 V max</t>
        </is>
      </c>
      <c r="D26" s="120" t="inlineStr">
        <is>
          <t>OPEN</t>
        </is>
      </c>
      <c r="E26" s="120" t="inlineStr">
        <is>
          <t>If actual amplifier input can exceed 15.1 V, specify a suitable high-current regulated solution or alternative sub amplifier.</t>
        </is>
      </c>
      <c r="F26" s="120" t="inlineStr">
        <is>
          <t>Engineering decision</t>
        </is>
      </c>
    </row>
    <row r="28">
      <c r="A28" s="153" t="inlineStr">
        <is>
          <t>REPLACEMENT AMPLIFIER DECISION — v1.9</t>
        </is>
      </c>
      <c r="B28" s="153" t="n"/>
      <c r="C28" s="153" t="n"/>
      <c r="D28" s="153" t="n"/>
      <c r="E28" s="153" t="n"/>
      <c r="F28" s="153" t="n"/>
    </row>
    <row r="29">
      <c r="A29" s="15" t="inlineStr">
        <is>
          <t>Driver impedance evidence</t>
        </is>
      </c>
      <c r="B29" s="15" t="inlineStr">
        <is>
          <t>Pioneer Europe lists 0.3 Ω for the TS-WX1220AH complete system; Pioneer Middle East lists 0.6 Ω × 2.</t>
        </is>
      </c>
      <c r="C29" s="15" t="inlineStr">
        <is>
          <t>0.3 Ω total / 0.6 Ω ×2 regional official data</t>
        </is>
      </c>
      <c r="D29" s="86" t="inlineStr">
        <is>
          <t>VERIFY LOOSE DRIVERS</t>
        </is>
      </c>
      <c r="E29" s="15" t="inlineStr">
        <is>
          <t>Consistent with two 0.6 Ω SVC drivers originally paralleled. Do not assume until measured/identified.</t>
        </is>
      </c>
      <c r="F29" s="95" t="inlineStr">
        <is>
          <t>https://pioneer-mea.com/en/products/ts-wx1220ah/</t>
        </is>
      </c>
    </row>
    <row r="30">
      <c r="A30" s="15" t="inlineStr">
        <is>
          <t>MATCH UP 1FX replacement</t>
        </is>
      </c>
      <c r="B30" s="15" t="inlineStr">
        <is>
          <t>Remove original Pioneer amp; V EIGHTEEN line out → UP 1FX RCA → Pioneer drivers</t>
        </is>
      </c>
      <c r="C30" s="15" t="inlineStr">
        <is>
          <t>10.5–18 V; 350 W@4 Ω / 600 W@2 Ω / 900 W@1 Ω; 1 Ω stable</t>
        </is>
      </c>
      <c r="D30" s="86" t="inlineStr">
        <is>
          <t>PREFERRED CANDIDATE / CONDITIONAL</t>
        </is>
      </c>
      <c r="E30" s="15" t="inlineStr">
        <is>
          <t>If each driver is ~0.6 Ω nominal, wire the two in series (~1.2 Ω nominal candidate). Never use original ~0.3 Ω parallel load.</t>
        </is>
      </c>
      <c r="F30" s="95" t="inlineStr">
        <is>
          <t>https://www.audiotec-fischer.de/en/match/amplifiers/up-1fx</t>
        </is>
      </c>
    </row>
    <row r="31">
      <c r="A31" s="15" t="inlineStr">
        <is>
          <t>HELIX M ONE replacement</t>
        </is>
      </c>
      <c r="B31" s="15" t="inlineStr">
        <is>
          <t>Same signal topology as above</t>
        </is>
      </c>
      <c r="C31" s="15" t="inlineStr">
        <is>
          <t>10.5–16 V; 240/410/600 W RMS @4/2/1 Ω</t>
        </is>
      </c>
      <c r="D31" s="86" t="inlineStr">
        <is>
          <t>FULL-HELIX OPTION / CONDITIONAL</t>
        </is>
      </c>
      <c r="E31" s="15" t="inlineStr">
        <is>
          <t>Same series-load requirement; less supply-voltage headroom than UP 1FX.</t>
        </is>
      </c>
      <c r="F31" s="95" t="inlineStr">
        <is>
          <t>https://www.audiotec-fischer.de/en/helix/amplifiers/m-one</t>
        </is>
      </c>
    </row>
    <row r="32">
      <c r="A32" s="15" t="inlineStr">
        <is>
          <t>HELIX M ONE X replacement</t>
        </is>
      </c>
      <c r="B32" s="15" t="inlineStr">
        <is>
          <t>Same signal topology as above</t>
        </is>
      </c>
      <c r="C32" s="15" t="inlineStr">
        <is>
          <t>10.5–16 V; 400/700/1030 W RMS @4/2/1 Ω</t>
        </is>
      </c>
      <c r="D32" s="86" t="inlineStr">
        <is>
          <t>HIGH-POWER HELIX OPTION / CONDITIONAL</t>
        </is>
      </c>
      <c r="E32" s="15" t="inlineStr">
        <is>
          <t>Same series-load requirement; extra output likely unnecessary unless carefully gain-limited.</t>
        </is>
      </c>
      <c r="F32" s="95" t="inlineStr">
        <is>
          <t>https://www.audiotec-fischer.de/en/helix/amplifiers/m-one-x</t>
        </is>
      </c>
    </row>
    <row r="33">
      <c r="A33" s="15" t="inlineStr">
        <is>
          <t>Wake/inrush remains separate</t>
        </is>
      </c>
      <c r="B33" s="15" t="inlineStr">
        <is>
          <t>Tesla high-current source → dedicated fuse → verified controlled switching/wake strategy → replacement amp</t>
        </is>
      </c>
      <c r="C33" s="15" t="inlineStr">
        <is>
          <t>Replacement amp voltage tolerance does not prove e-fuse/inrush compatibility</t>
        </is>
      </c>
      <c r="D33" s="86" t="inlineStr">
        <is>
          <t>RE-ENGINEER</t>
        </is>
      </c>
      <c r="E33" s="15" t="inlineStr">
        <is>
          <t>Use previous SSR success as field evidence; size switching/fusing for the selected new amplifier.</t>
        </is>
      </c>
      <c r="F33" s="95" t="inlineStr">
        <is>
          <t>Engineering decision</t>
        </is>
      </c>
    </row>
  </sheetData>
  <autoFilter ref="A4:F16"/>
  <mergeCells count="8">
    <mergeCell ref="B21:F21"/>
    <mergeCell ref="A2:F2"/>
    <mergeCell ref="A24:F24"/>
    <mergeCell ref="B20:F20"/>
    <mergeCell ref="A1:F1"/>
    <mergeCell ref="B19:F19"/>
    <mergeCell ref="A18:F18"/>
    <mergeCell ref="B22:F2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7"/>
  <sheetViews>
    <sheetView showGridLines="0" workbookViewId="0">
      <pane ySplit="4" topLeftCell="A5" activePane="bottomLeft" state="frozen"/>
      <selection pane="bottomLeft" activeCell="A1" sqref="A1"/>
    </sheetView>
  </sheetViews>
  <sheetFormatPr baseColWidth="8" defaultRowHeight="15"/>
  <cols>
    <col width="18" customWidth="1" min="1" max="1"/>
    <col width="28" customWidth="1" min="2" max="2"/>
    <col width="11" customWidth="1" min="3" max="3"/>
    <col width="16" customWidth="1" min="4" max="4"/>
    <col width="25" customWidth="1" min="5" max="5"/>
    <col width="17" customWidth="1" min="6" max="6"/>
    <col width="34" customWidth="1" min="7" max="7"/>
    <col width="28" customWidth="1" min="8" max="8"/>
    <col width="22" customWidth="1" min="9" max="9"/>
    <col width="22" customWidth="1" min="10" max="10"/>
    <col width="34" customWidth="1" min="11" max="11"/>
    <col width="46" customWidth="1" min="12" max="12"/>
    <col width="44" customWidth="1" min="13" max="13"/>
  </cols>
  <sheetData>
    <row r="1">
      <c r="A1" s="118" t="inlineStr">
        <is>
          <t>SUBWOOFER AMPLIFIER OPTIONS — PIONEER TS-WX1220AH DONOR DRIVERS</t>
        </is>
      </c>
    </row>
    <row r="2" ht="64" customHeight="1">
      <c r="A2" s="119" t="inlineStr">
        <is>
          <t>The two original Pioneer 30 cm drivers are retained; only the amplifier/power architecture changes. Pioneer Europe publishes 0.3 Ω for the complete system while another official Pioneer regional specification states 0.6 Ω × 2. Treat this as strong evidence for two very-low-impedance SVC drivers originally paralleled, but VERIFY the loose drivers before connecting a replacement amplifier. All proposed replacement monoblocks are 1 Ω stable, not 0.3 Ω stable.</t>
        </is>
      </c>
    </row>
    <row r="4">
      <c r="A4" s="76" t="inlineStr">
        <is>
          <t>Route</t>
        </is>
      </c>
      <c r="B4" s="76" t="inlineStr">
        <is>
          <t>Amplifier / power solution</t>
        </is>
      </c>
      <c r="C4" s="76" t="inlineStr">
        <is>
          <t>New amp €</t>
        </is>
      </c>
      <c r="D4" s="76" t="inlineStr">
        <is>
          <t>Supply range</t>
        </is>
      </c>
      <c r="E4" s="76" t="inlineStr">
        <is>
          <t>Published output</t>
        </is>
      </c>
      <c r="F4" s="76" t="inlineStr">
        <is>
          <t>Minimum published load</t>
        </is>
      </c>
      <c r="G4" s="76" t="inlineStr">
        <is>
          <t>Pioneer driver wiring</t>
        </is>
      </c>
      <c r="H4" s="76" t="inlineStr">
        <is>
          <t>Compatibility status</t>
        </is>
      </c>
      <c r="I4" s="76" t="inlineStr">
        <is>
          <t>Full-15 total incl DIRECTOR + reserve</t>
        </is>
      </c>
      <c r="J4" s="76" t="inlineStr">
        <is>
          <t>Full-15 total DIRECTOR deferred</t>
        </is>
      </c>
      <c r="K4" s="76" t="inlineStr">
        <is>
          <t>Benefits</t>
        </is>
      </c>
      <c r="L4" s="76" t="inlineStr">
        <is>
          <t>Risks / verification</t>
        </is>
      </c>
      <c r="M4" s="76" t="inlineStr">
        <is>
          <t>Source URL</t>
        </is>
      </c>
    </row>
    <row r="5">
      <c r="A5" s="120" t="inlineStr">
        <is>
          <t>S1</t>
        </is>
      </c>
      <c r="B5" s="120" t="inlineStr">
        <is>
          <t>Retain original Pioneer Class-D + field-proven SSR</t>
        </is>
      </c>
      <c r="C5" s="123" t="n">
        <v>0</v>
      </c>
      <c r="D5" s="120" t="inlineStr">
        <is>
          <t>10.8–15.1 V</t>
        </is>
      </c>
      <c r="E5" s="120" t="inlineStr">
        <is>
          <t>600 W RMS original amp</t>
        </is>
      </c>
      <c r="F5" s="120" t="inlineStr">
        <is>
          <t>Original matched load</t>
        </is>
      </c>
      <c r="G5" s="120" t="inlineStr">
        <is>
          <t>Keep original driver wiring unless dismantled wiring proves otherwise</t>
        </is>
      </c>
      <c r="H5" s="157" t="inlineStr">
        <is>
          <t>BLOCKED pending voltage solution</t>
        </is>
      </c>
      <c r="I5" s="123">
        <f>'Supplier_Stage_Plan'!C8</f>
        <v/>
      </c>
      <c r="J5" s="123">
        <f>'Supplier_Stage_Plan'!C9</f>
        <v/>
      </c>
      <c r="K5" s="120" t="inlineStr">
        <is>
          <t>No amplifier purchase; proven previous-Tesla SSR/inrush concept</t>
        </is>
      </c>
      <c r="L5" s="120" t="inlineStr">
        <is>
          <t>Tesla ~15.5 V is above Pioneer 15.1 V max. SSR addresses switching/inrush behavior, not voltage. DC-DC or measured compliant feed still required.</t>
        </is>
      </c>
      <c r="M5" s="120" t="inlineStr">
        <is>
          <t>https://pioneer-car.eu/asset/installation_manuals/UPLOAD_ID_28783/bb886d2a0df764bbfca7a2d7de1562b67e31f364/</t>
        </is>
      </c>
    </row>
    <row r="6">
      <c r="A6" s="120" t="inlineStr">
        <is>
          <t>S2</t>
        </is>
      </c>
      <c r="B6" s="120" t="inlineStr">
        <is>
          <t>Retain Pioneer + SSR + regulated high-current DC-DC</t>
        </is>
      </c>
      <c r="C6" s="120" t="inlineStr">
        <is>
          <t>TBD</t>
        </is>
      </c>
      <c r="D6" s="120" t="inlineStr">
        <is>
          <t>Pioneer still 10.8–15.1 V after regulator</t>
        </is>
      </c>
      <c r="E6" s="120" t="inlineStr">
        <is>
          <t>600 W RMS original amp</t>
        </is>
      </c>
      <c r="F6" s="120" t="inlineStr">
        <is>
          <t>Original matched load</t>
        </is>
      </c>
      <c r="G6" s="120" t="inlineStr">
        <is>
          <t>Keep original driver wiring</t>
        </is>
      </c>
      <c r="H6" s="158" t="inlineStr">
        <is>
          <t>TECHNICALLY PLAUSIBLE / converter TBD</t>
        </is>
      </c>
      <c r="I6" s="120" t="inlineStr">
        <is>
          <t>TBD</t>
        </is>
      </c>
      <c r="J6" s="120" t="inlineStr">
        <is>
          <t>TBD</t>
        </is>
      </c>
      <c r="K6" s="120" t="inlineStr">
        <is>
          <t>Keeps known amp/driver electrical match and prior acoustic behavior</t>
        </is>
      </c>
      <c r="L6" s="120" t="inlineStr">
        <is>
          <t>Suitable converter, current headroom, efficiency, thermal management and inrush behavior still need design; likely not the simplest route.</t>
        </is>
      </c>
      <c r="M6" s="120" t="inlineStr">
        <is>
          <t>https://pioneer-car.eu/asset/installation_manuals/UPLOAD_ID_28783/bb886d2a0df764bbfca7a2d7de1562b67e31f364/</t>
        </is>
      </c>
    </row>
    <row r="7">
      <c r="A7" s="120" t="inlineStr">
        <is>
          <t>S3</t>
        </is>
      </c>
      <c r="B7" s="120" t="inlineStr">
        <is>
          <t>MATCH UP 1FX</t>
        </is>
      </c>
      <c r="C7" s="123" t="n">
        <v>299</v>
      </c>
      <c r="D7" s="120" t="inlineStr">
        <is>
          <t>10.5–18 V</t>
        </is>
      </c>
      <c r="E7" s="120" t="inlineStr">
        <is>
          <t>350 W @4 Ω; 600 W @2 Ω; 900 W @1 Ω</t>
        </is>
      </c>
      <c r="F7" s="120" t="inlineStr">
        <is>
          <t>1 Ω</t>
        </is>
      </c>
      <c r="G7" s="120" t="inlineStr">
        <is>
          <t>VERIFY 0.6 Ω ×2 drivers; wire SERIES → ~1.2 Ω nominal candidate load</t>
        </is>
      </c>
      <c r="H7" s="159" t="inlineStr">
        <is>
          <t>PREFERRED REPLACEMENT CANDIDATE / CONDITIONAL</t>
        </is>
      </c>
      <c r="I7" s="123">
        <f>'Supplier_Stage_Plan'!C8+C7</f>
        <v/>
      </c>
      <c r="J7" s="123">
        <f>'Supplier_Stage_Plan'!C9+C7</f>
        <v/>
      </c>
      <c r="K7" s="120" t="inlineStr">
        <is>
          <t>Best voltage headroom of compared replacements; compact; RCA input; 1 Ω stable; DirectDSP feature; price €299</t>
        </is>
      </c>
      <c r="L7" s="120" t="inlineStr">
        <is>
          <t>NOT compatible with original ~0.3 Ω parallel load. Series rewiring and actual driver verification required. Preserve/verify Tesla high-current wake/inrush strategy.</t>
        </is>
      </c>
      <c r="M7" s="120" t="inlineStr">
        <is>
          <t>https://www.audiotec-fischer.de/en/match/amplifiers/up-1fx</t>
        </is>
      </c>
    </row>
    <row r="8">
      <c r="A8" s="120" t="inlineStr">
        <is>
          <t>S4</t>
        </is>
      </c>
      <c r="B8" s="120" t="inlineStr">
        <is>
          <t>HELIX M ONE</t>
        </is>
      </c>
      <c r="C8" s="123" t="n">
        <v>299</v>
      </c>
      <c r="D8" s="120" t="inlineStr">
        <is>
          <t>10.5–16 V</t>
        </is>
      </c>
      <c r="E8" s="120" t="inlineStr">
        <is>
          <t>240 W @4 Ω; 410 W @2 Ω; 600 W @1 Ω</t>
        </is>
      </c>
      <c r="F8" s="120" t="inlineStr">
        <is>
          <t>1 Ω</t>
        </is>
      </c>
      <c r="G8" s="120" t="inlineStr">
        <is>
          <t>VERIFY 0.6 Ω ×2 drivers; wire SERIES → ~1.2 Ω nominal candidate load</t>
        </is>
      </c>
      <c r="H8" s="158" t="inlineStr">
        <is>
          <t>FULL-HELIX BRAND OPTION / CONDITIONAL</t>
        </is>
      </c>
      <c r="I8" s="123">
        <f>'Supplier_Stage_Plan'!C8+C8</f>
        <v/>
      </c>
      <c r="J8" s="123">
        <f>'Supplier_Stage_Plan'!C9+C8</f>
        <v/>
      </c>
      <c r="K8" s="120" t="inlineStr">
        <is>
          <t>HELIX-branded; 600 W @1 Ω mirrors original amplifier RMS figure; €299 current DE reference</t>
        </is>
      </c>
      <c r="L8" s="120" t="inlineStr">
        <is>
          <t>Only 16 V upper supply limit gives less margin than UP 1FX; not compatible with original 0.3 Ω parallel load; series wiring verification required.</t>
        </is>
      </c>
      <c r="M8" s="120" t="inlineStr">
        <is>
          <t>https://www.audiotec-fischer.de/en/helix/amplifiers/m-one</t>
        </is>
      </c>
    </row>
    <row r="9">
      <c r="A9" s="120" t="inlineStr">
        <is>
          <t>S5</t>
        </is>
      </c>
      <c r="B9" s="120" t="inlineStr">
        <is>
          <t>HELIX M ONE X</t>
        </is>
      </c>
      <c r="C9" s="123" t="n">
        <v>379</v>
      </c>
      <c r="D9" s="120" t="inlineStr">
        <is>
          <t>10.5–16 V</t>
        </is>
      </c>
      <c r="E9" s="120" t="inlineStr">
        <is>
          <t>400 W @4 Ω; 700 W @2 Ω; 1030 W @1 Ω</t>
        </is>
      </c>
      <c r="F9" s="120" t="inlineStr">
        <is>
          <t>1 Ω</t>
        </is>
      </c>
      <c r="G9" s="120" t="inlineStr">
        <is>
          <t>VERIFY 0.6 Ω ×2 drivers; wire SERIES → ~1.2 Ω nominal candidate load</t>
        </is>
      </c>
      <c r="H9" s="158" t="inlineStr">
        <is>
          <t>HIGH-POWER FULL-HELIX OPTION / CONDITIONAL</t>
        </is>
      </c>
      <c r="I9" s="123">
        <f>'Supplier_Stage_Plan'!C8+C9</f>
        <v/>
      </c>
      <c r="J9" s="123">
        <f>'Supplier_Stage_Plan'!C9+C9</f>
        <v/>
      </c>
      <c r="K9" s="120" t="inlineStr">
        <is>
          <t>Full HELIX branding; substantial output reserve; 1 Ω stable</t>
        </is>
      </c>
      <c r="L9" s="120" t="inlineStr">
        <is>
          <t>More expensive and potentially excessive for donor drivers; gain/output must be limited. 16 V ceiling; series-driver verification required.</t>
        </is>
      </c>
      <c r="M9" s="120" t="inlineStr">
        <is>
          <t>https://www.audiotec-fischer.de/en/helix/amplifiers/m-one-x</t>
        </is>
      </c>
    </row>
    <row r="11">
      <c r="A11" s="76" t="inlineStr">
        <is>
          <t>CURRENT DECISION</t>
        </is>
      </c>
    </row>
    <row r="12">
      <c r="A12" s="120" t="inlineStr">
        <is>
          <t>Preferred electrical replacement</t>
        </is>
      </c>
      <c r="B12" s="161" t="inlineStr">
        <is>
          <t>MATCH UP 1FX, conditional on confirming each loose Pioneer driver and using a safe series load. 18 V ceiling is a better match to Tesla LV than the 16 V HELIX M ONE/M ONE X ceiling.</t>
        </is>
      </c>
      <c r="C12" s="160" t="n"/>
      <c r="D12" s="160" t="n"/>
      <c r="E12" s="160" t="n"/>
      <c r="F12" s="160" t="n"/>
      <c r="G12" s="160" t="n"/>
      <c r="H12" s="160" t="n"/>
      <c r="I12" s="160" t="n"/>
      <c r="J12" s="160" t="n"/>
      <c r="K12" s="160" t="n"/>
      <c r="L12" s="160" t="n"/>
      <c r="M12" s="160" t="n"/>
    </row>
    <row r="13">
      <c r="A13" s="120" t="inlineStr">
        <is>
          <t>Do not do</t>
        </is>
      </c>
      <c r="B13" s="161" t="inlineStr">
        <is>
          <t>Do not connect any 1 Ω-stable replacement amplifier to the original ~0.3 Ω parallel load.</t>
        </is>
      </c>
      <c r="C13" s="160" t="n"/>
      <c r="D13" s="160" t="n"/>
      <c r="E13" s="160" t="n"/>
      <c r="F13" s="160" t="n"/>
      <c r="G13" s="160" t="n"/>
      <c r="H13" s="160" t="n"/>
      <c r="I13" s="160" t="n"/>
      <c r="J13" s="160" t="n"/>
      <c r="K13" s="160" t="n"/>
      <c r="L13" s="160" t="n"/>
      <c r="M13" s="160" t="n"/>
    </row>
    <row r="14">
      <c r="A14" s="120" t="inlineStr">
        <is>
          <t>Before purchase</t>
        </is>
      </c>
      <c r="B14" s="161" t="inlineStr">
        <is>
          <t>Measure/identify each donor driver, confirm ~0.6 Ω nominal class / wiring, inspect original internal wiring, and obtain dealer/manufacturer confirmation that the resulting series load is acceptable.</t>
        </is>
      </c>
      <c r="C14" s="160" t="n"/>
      <c r="D14" s="160" t="n"/>
      <c r="E14" s="160" t="n"/>
      <c r="F14" s="160" t="n"/>
      <c r="G14" s="160" t="n"/>
      <c r="H14" s="160" t="n"/>
      <c r="I14" s="160" t="n"/>
      <c r="J14" s="160" t="n"/>
      <c r="K14" s="160" t="n"/>
      <c r="L14" s="160" t="n"/>
      <c r="M14" s="160" t="n"/>
    </row>
    <row r="15">
      <c r="A15" s="120" t="inlineStr">
        <is>
          <t>Inrush / e-fuse</t>
        </is>
      </c>
      <c r="B15" s="161" t="inlineStr">
        <is>
          <t>A voltage-compatible replacement does not automatically eliminate Tesla inrush/e-fuse concerns. Reuse the prior SSR/wake strategy as evidence, but re-engineer it for the new amplifier current demand.</t>
        </is>
      </c>
      <c r="C15" s="160" t="n"/>
      <c r="D15" s="160" t="n"/>
      <c r="E15" s="160" t="n"/>
      <c r="F15" s="160" t="n"/>
      <c r="G15" s="160" t="n"/>
      <c r="H15" s="160" t="n"/>
      <c r="I15" s="160" t="n"/>
      <c r="J15" s="160" t="n"/>
      <c r="K15" s="160" t="n"/>
      <c r="L15" s="160" t="n"/>
      <c r="M15" s="160" t="n"/>
    </row>
    <row r="17">
      <c r="A17" s="15" t="inlineStr">
        <is>
          <t>S6</t>
        </is>
      </c>
      <c r="B17" s="15" t="inlineStr">
        <is>
          <t>Audison AF M1D — MB proposal</t>
        </is>
      </c>
      <c r="C17" s="29" t="n">
        <v>599</v>
      </c>
      <c r="D17" s="15" t="inlineStr">
        <is>
          <t>Verify actual operating supply specification before final design</t>
        </is>
      </c>
      <c r="E17" s="15" t="inlineStr">
        <is>
          <t>Dedicated mono amplifier; exact output depends on load</t>
        </is>
      </c>
      <c r="F17" s="15" t="inlineStr">
        <is>
          <t>VERIFY official minimum load / driver wiring</t>
        </is>
      </c>
      <c r="G17" s="15" t="inlineStr">
        <is>
          <t>MEASURE both donor drivers first; choose safe series/parallel topology</t>
        </is>
      </c>
      <c r="H17" s="15" t="inlineStr">
        <is>
          <t>CURRENT MB PROPOSAL / CONDITIONAL</t>
        </is>
      </c>
      <c r="I17" s="15" t="n"/>
      <c r="J17" s="15" t="n"/>
      <c r="K17" s="15" t="inlineStr">
        <is>
          <t>Keeps sub duty off front/rear amplifiers</t>
        </is>
      </c>
      <c r="L17" s="15" t="inlineStr">
        <is>
          <t>Do not infer donor-driver impedance from complete TS-WX1220AH system spec; measure loose units and confirm load.</t>
        </is>
      </c>
      <c r="M17" s="44" t="inlineStr">
        <is>
          <t>https://audison.com/product/af-m1d/</t>
        </is>
      </c>
    </row>
  </sheetData>
  <autoFilter ref="A4:M9"/>
  <mergeCells count="7">
    <mergeCell ref="B15:M15"/>
    <mergeCell ref="A1:M1"/>
    <mergeCell ref="B14:M14"/>
    <mergeCell ref="B13:M13"/>
    <mergeCell ref="A2:M2"/>
    <mergeCell ref="A11:M11"/>
    <mergeCell ref="B12:M12"/>
  </mergeCells>
  <hyperlinks>
    <hyperlink xmlns:r="http://schemas.openxmlformats.org/officeDocument/2006/relationships" ref="M17"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29"/>
  <sheetViews>
    <sheetView showGridLines="0" workbookViewId="0">
      <selection activeCell="A1" sqref="A1"/>
    </sheetView>
  </sheetViews>
  <sheetFormatPr baseColWidth="8" defaultRowHeight="15"/>
  <cols>
    <col width="32" customWidth="1" min="1" max="1"/>
    <col width="100" customWidth="1" min="2" max="2"/>
    <col width="65" customWidth="1" min="3" max="3"/>
  </cols>
  <sheetData>
    <row r="1" ht="28" customHeight="1">
      <c r="A1" s="1" t="inlineStr">
        <is>
          <t>Bronnen en prijspeildatum</t>
        </is>
      </c>
    </row>
    <row r="2" ht="30" customHeight="1">
      <c r="A2" s="2" t="inlineStr">
        <is>
          <t>Plain-text URLs opgenomen zodat de BOM later handmatig of automatisch kan worden geactualiseerd.</t>
        </is>
      </c>
    </row>
    <row r="4">
      <c r="A4" s="14" t="inlineStr">
        <is>
          <t>Source</t>
        </is>
      </c>
      <c r="B4" s="14" t="inlineStr">
        <is>
          <t>URL</t>
        </is>
      </c>
      <c r="C4" s="14" t="inlineStr">
        <is>
          <t>Use / note</t>
        </is>
      </c>
      <c r="D4" s="14" t="n"/>
      <c r="E4" s="14" t="n"/>
      <c r="F4" s="14" t="n"/>
      <c r="G4" s="14" t="n"/>
      <c r="H4" s="14" t="n"/>
    </row>
    <row r="5">
      <c r="A5" s="15" t="inlineStr">
        <is>
          <t>Tesla / SOP9 wiring reference</t>
        </is>
      </c>
      <c r="B5" s="47" t="inlineStr">
        <is>
          <t>https://service.tesla.com/docs/Model3/ElectricalReference/</t>
        </is>
      </c>
      <c r="C5" s="15" t="inlineStr">
        <is>
          <t>Official Tesla service reference</t>
        </is>
      </c>
    </row>
    <row r="6">
      <c r="A6" s="15" t="inlineStr">
        <is>
          <t>MATCH PP-TES 1.7B Highland</t>
        </is>
      </c>
      <c r="B6" s="47" t="inlineStr">
        <is>
          <t>https://www.audiotec-fischer.de/en/match/adaptors-harnesses/pp-tes-1-7b-highland</t>
        </is>
      </c>
      <c r="C6" s="15" t="inlineStr">
        <is>
          <t>Official compatibility and connector detail</t>
        </is>
      </c>
    </row>
    <row r="7">
      <c r="A7" s="15" t="inlineStr">
        <is>
          <t>Audison AF M12.14 bit</t>
        </is>
      </c>
      <c r="B7" s="47" t="inlineStr">
        <is>
          <t>https://audison.com/product/af-m12-14-bit/</t>
        </is>
      </c>
      <c r="C7" s="15" t="inlineStr">
        <is>
          <t>Official 12 amp / 14 DSP spec and DRC MP CAN accessory</t>
        </is>
      </c>
    </row>
    <row r="8">
      <c r="A8" s="15" t="inlineStr">
        <is>
          <t>Audison DRC MP CAN NL</t>
        </is>
      </c>
      <c r="B8" s="47" t="inlineStr">
        <is>
          <t>https://mbcaraudio.nl/bass-controls/audison-drc-mp-can.html</t>
        </is>
      </c>
      <c r="C8" s="15" t="inlineStr">
        <is>
          <t>€179; explicit AF M12.14 compatibility</t>
        </is>
      </c>
    </row>
    <row r="9">
      <c r="A9" s="15" t="inlineStr">
        <is>
          <t>HELIX Highland front kit</t>
        </is>
      </c>
      <c r="B9" s="47" t="inlineStr">
        <is>
          <t>https://www.carhifi-store-buende.de/compose-ci3-k200.2tes4-tesla-model-3-highland</t>
        </is>
      </c>
      <c r="C9" s="15" t="inlineStr">
        <is>
          <t>€729; exact kit contents and adapters</t>
        </is>
      </c>
    </row>
    <row r="10">
      <c r="A10" s="15" t="inlineStr">
        <is>
          <t>HELIX Ci5 M80FM-S3</t>
        </is>
      </c>
      <c r="B10" s="47" t="inlineStr">
        <is>
          <t>https://www.ars24.com/en/helix-ci5-m80fm-s3</t>
        </is>
      </c>
      <c r="C10" s="15" t="inlineStr">
        <is>
          <t>€199; DE/FR shipping</t>
        </is>
      </c>
    </row>
    <row r="11">
      <c r="A11" s="15" t="inlineStr">
        <is>
          <t>HELIX Ci5 M50FM-S3</t>
        </is>
      </c>
      <c r="B11" s="47" t="inlineStr">
        <is>
          <t>https://www.ars24.com/en/helix-ci5-m50fm-s3</t>
        </is>
      </c>
      <c r="C11" s="15" t="inlineStr">
        <is>
          <t>€169; DE/FR shipping</t>
        </is>
      </c>
    </row>
    <row r="12">
      <c r="A12" s="15" t="inlineStr">
        <is>
          <t>HELIX Ci3 M100FM-S3</t>
        </is>
      </c>
      <c r="B12" s="47" t="inlineStr">
        <is>
          <t>https://shop.hfb.audio/produkte-fuers-auto/lautsprecher/831/helix-ci3-m100fm-s3-10cm-mittelton-lautsprecher</t>
        </is>
      </c>
      <c r="C12" s="15" t="inlineStr">
        <is>
          <t>€149 per pair</t>
        </is>
      </c>
    </row>
    <row r="13">
      <c r="A13" s="15" t="inlineStr">
        <is>
          <t>MATCH UP10 US</t>
        </is>
      </c>
      <c r="B13" s="47" t="inlineStr">
        <is>
          <t>https://www.crutchfield.com/shopsearch/MATCH_UP_10_DSP.html</t>
        </is>
      </c>
      <c r="C13" s="15" t="inlineStr">
        <is>
          <t>$1,450 US current price</t>
        </is>
      </c>
    </row>
    <row r="14">
      <c r="A14" s="15" t="inlineStr">
        <is>
          <t>China wholesale benchmark</t>
        </is>
      </c>
      <c r="B14" s="47" t="inlineStr">
        <is>
          <t>https://bhyiming.en.made-in-china.com/product/IdetXGaKEOcp/China-Manufacturer-Plug-and-Play-System-Woofer-for-Tesla-Model-3-High-Sound-Quality-8-Inch-Car-Accesssories-Car-Audio-Subwoofers.html</t>
        </is>
      </c>
      <c r="C14" s="15" t="inlineStr">
        <is>
          <t>$95 each at MOQ 200; not retail</t>
        </is>
      </c>
    </row>
    <row r="15">
      <c r="A15" s="15" t="inlineStr">
        <is>
          <t>Audison Tesla pack limitation</t>
        </is>
      </c>
      <c r="B15" s="47" t="inlineStr">
        <is>
          <t>https://audison.com/de/tesla/</t>
        </is>
      </c>
      <c r="C15" s="15" t="inlineStr">
        <is>
          <t>Official note: 2024+ Highland currently not compatible with their Tesla pack</t>
        </is>
      </c>
    </row>
    <row r="16">
      <c r="A16" s="15" t="inlineStr">
        <is>
          <t>USD→EUR</t>
        </is>
      </c>
      <c r="B16" s="43" t="inlineStr">
        <is>
          <t>Live conversion used 2026-09-01: 1 USD = 0.860404 EUR</t>
        </is>
      </c>
      <c r="C16" s="15" t="inlineStr">
        <is>
          <t>Currency source queried at 2026-09-01T00:30Z</t>
        </is>
      </c>
    </row>
    <row r="17">
      <c r="A17" t="inlineStr">
        <is>
          <t>Audison AF M12.14 bit NL</t>
        </is>
      </c>
      <c r="B17" s="47" t="inlineStr">
        <is>
          <t>https://mbcaraudio.nl/car-audio-producten/versterkers/versterkers-met-dsp</t>
        </is>
      </c>
      <c r="C17" t="inlineStr">
        <is>
          <t>€1,349 current NL price; 5-year warranty</t>
        </is>
      </c>
    </row>
    <row r="18">
      <c r="A18" t="inlineStr">
        <is>
          <t>Audison AF M12.14 bit – current DE comparison</t>
        </is>
      </c>
      <c r="B18" s="48" t="inlineStr">
        <is>
          <t>https://www.idealo.de/preisvergleich/OffersOfProduct/203736270_-af-m12-14-bit-audison.html</t>
        </is>
      </c>
      <c r="C18" t="inlineStr">
        <is>
          <t>€1,205.90 observed 2026-09-01; comparison result, verify final checkout/shipping.</t>
        </is>
      </c>
    </row>
    <row r="19">
      <c r="A19" s="15" t="inlineStr">
        <is>
          <t>MBCaraudio Model 3 Facelift 2023+ category</t>
        </is>
      </c>
      <c r="B19" s="49" t="inlineStr">
        <is>
          <t>https://mbcaraudio.nl/autospecifieke-producten/tesla-autospecifieke-producten-en-accessoires/automodel-typenummer-en-bouwjaar-selectie-tesla/tesla-model-3-facelift-bouwjaar-2023-</t>
        </is>
      </c>
      <c r="C19" s="15" t="inlineStr">
        <is>
          <t>Current MBC Tesla category / products and pricing checked 2026-09-01.</t>
        </is>
      </c>
    </row>
    <row r="20">
      <c r="A20" s="15" t="inlineStr">
        <is>
          <t>Focal IW T3Y 200 – MBC</t>
        </is>
      </c>
      <c r="B20" s="49" t="inlineStr">
        <is>
          <t>https://mbcaraudio.nl/autospecifieke-pasklare-speakersets/focal-iw-t3y-200.html</t>
        </is>
      </c>
      <c r="C20" s="15" t="inlineStr">
        <is>
          <t>€459; 75W RMS / 150W MAX / 4Ω; Highland LR/Performance from 2023.</t>
        </is>
      </c>
    </row>
    <row r="21">
      <c r="A21" s="15" t="inlineStr">
        <is>
          <t>Focal IS T3Y 100 – MBC</t>
        </is>
      </c>
      <c r="B21" s="49" t="inlineStr">
        <is>
          <t>https://mbcaraudio.nl/autospecifieke-pasklare-speakersets/focal-is-t3y-100.html</t>
        </is>
      </c>
      <c r="C21" s="15" t="inlineStr">
        <is>
          <t>€369; 50W RMS / 100W MAX / 4Ω; Highland LR/Performance.</t>
        </is>
      </c>
    </row>
    <row r="22">
      <c r="A22" s="15" t="inlineStr">
        <is>
          <t>Focal IC T3Y 100 – MBC</t>
        </is>
      </c>
      <c r="B22" s="49" t="inlineStr">
        <is>
          <t>https://mbcaraudio.nl/autospecifieke-pasklare-speakersets/focal-ic-t3y-100.html</t>
        </is>
      </c>
      <c r="C22" s="15" t="inlineStr">
        <is>
          <t>€319; 40W RMS / 80W MAX / 4Ω; Highland rear doors + parcel shelf.</t>
        </is>
      </c>
    </row>
    <row r="23">
      <c r="A23" s="15" t="inlineStr">
        <is>
          <t>Focal ICC T3Y 100 – MBC</t>
        </is>
      </c>
      <c r="B23" s="49" t="inlineStr">
        <is>
          <t>https://mbcaraudio.nl/autospecifieke-pasklare-speakersets/focal-icc-t3y-100.html</t>
        </is>
      </c>
      <c r="C23" s="15" t="inlineStr">
        <is>
          <t>€179; 50W RMS / 100W MAX / 4Ω; Highland uses center without included tweeter.</t>
        </is>
      </c>
    </row>
    <row r="24">
      <c r="A24" s="15" t="inlineStr">
        <is>
          <t>Focal 3 KM – official</t>
        </is>
      </c>
      <c r="B24" s="49" t="inlineStr">
        <is>
          <t>https://www.focal.com/products/3-km</t>
        </is>
      </c>
      <c r="C24" s="15" t="inlineStr">
        <is>
          <t>80mm mid; 60W RMS / 120W MAX / 4Ω; custom-install candidate only.</t>
        </is>
      </c>
    </row>
    <row r="25">
      <c r="A25" s="15" t="inlineStr">
        <is>
          <t>MBC small speaker category</t>
        </is>
      </c>
      <c r="B25" s="49" t="inlineStr">
        <is>
          <t>https://mbcaraudio.nl/car-audio-producten/speakers-acc/87-cm-</t>
        </is>
      </c>
      <c r="C25" s="15" t="inlineStr">
        <is>
          <t>Current MBC prices: Gladen GAMMA GM80 €169; Audison AP 2 MV €119; Focal 3 KM €319. Exact package count/fit must be confirmed.</t>
        </is>
      </c>
    </row>
    <row r="26">
      <c r="A26" s="15" t="inlineStr">
        <is>
          <t>Audison AP 2 MV – MBC</t>
        </is>
      </c>
      <c r="B26" s="49" t="inlineStr">
        <is>
          <t>https://mbcaraudio.nl/87-cm-/audison-ap-2-mv.html</t>
        </is>
      </c>
      <c r="C26" s="15" t="inlineStr">
        <is>
          <t>€119 per set of 2; 50mm wide-range; 25W RMS / 50W MAX / 4Ω.</t>
        </is>
      </c>
    </row>
    <row r="27">
      <c r="A27" s="15" t="inlineStr">
        <is>
          <t>Audison Tesla Sound Pack official</t>
        </is>
      </c>
      <c r="B27" s="49" t="inlineStr">
        <is>
          <t>https://audison.com/tesla/</t>
        </is>
      </c>
      <c r="C27" s="15" t="inlineStr">
        <is>
          <t>Official warning: current 2024+ Model 3 Highland not compatible.</t>
        </is>
      </c>
    </row>
    <row r="28">
      <c r="A28" s="15" t="inlineStr">
        <is>
          <t>Audison AF M12.14 bit official</t>
        </is>
      </c>
      <c r="B28" s="49" t="inlineStr">
        <is>
          <t>https://audison.com/product/af-m12-14-bit/</t>
        </is>
      </c>
      <c r="C28" s="15" t="inlineStr">
        <is>
          <t>12x60W RMS @4Ω, 12x90W @2Ω, 6x180W bridged @4Ω; total power 1080W; 14 DSP outputs.</t>
        </is>
      </c>
    </row>
    <row r="29">
      <c r="A29" s="15" t="inlineStr">
        <is>
          <t>Audison AF M12.14 bit – MBC</t>
        </is>
      </c>
      <c r="B29" s="49" t="inlineStr">
        <is>
          <t>https://mbcaraudio.nl/10-12-16-en-18-kanaals/audison-af-m1214-bit.html</t>
        </is>
      </c>
      <c r="C29" s="15" t="inlineStr">
        <is>
          <t>€1,349 current MBC price; 5-year dealer warranty.</t>
        </is>
      </c>
    </row>
    <row r="30">
      <c r="A30" s="15" t="inlineStr">
        <is>
          <t>Audison DRC MP CAN – MBC</t>
        </is>
      </c>
      <c r="B30" s="49" t="inlineStr">
        <is>
          <t>https://mbcaraudio.nl/bass-controls/audison-drc-mp-can.html</t>
        </is>
      </c>
      <c r="C30" s="15" t="inlineStr">
        <is>
          <t>€179; OLED display, master/sub volume and up to six DSP presets.</t>
        </is>
      </c>
    </row>
    <row r="31">
      <c r="A31" s="15" t="inlineStr">
        <is>
          <t>MBC pickup/contact</t>
        </is>
      </c>
      <c r="B31" s="49" t="inlineStr">
        <is>
          <t>https://mbcaraudio.nl/content/contact-informatie</t>
        </is>
      </c>
      <c r="C31" s="15" t="inlineStr">
        <is>
          <t>Pickup by appointment after order confirmation; MBC normally asks pickup orders to be ordered and paid online in advance.</t>
        </is>
      </c>
    </row>
    <row r="32">
      <c r="A32" s="15" t="inlineStr">
        <is>
          <t>MBC price policy</t>
        </is>
      </c>
      <c r="B32" s="49" t="inlineStr">
        <is>
          <t>https://mbcaraudio.nl/content/toelichting-online-prijsstellingen</t>
        </is>
      </c>
      <c r="C32" s="15" t="inlineStr">
        <is>
          <t>Current prices are market-adjusted and checked regularly; use external benchmarks as package-price negotiation reference.</t>
        </is>
      </c>
    </row>
    <row r="33">
      <c r="A33" s="15" t="inlineStr">
        <is>
          <t>Focal America IW T3Y 200</t>
        </is>
      </c>
      <c r="B33" s="49" t="inlineStr">
        <is>
          <t>https://www.crutchfield.com/shopsearch/focal_inside.html</t>
        </is>
      </c>
      <c r="C33" s="15" t="inlineStr">
        <is>
          <t>Crutchfield current $1,049.99 pair; 5/5 from 3 reviews observed 2026-09-01.</t>
        </is>
      </c>
    </row>
    <row r="34">
      <c r="A34" s="15" t="inlineStr">
        <is>
          <t>Focal America IS T3Y 100</t>
        </is>
      </c>
      <c r="B34" s="49" t="inlineStr">
        <is>
          <t>https://www.crutchfield.com/shopsearch/flax.html</t>
        </is>
      </c>
      <c r="C34" s="15" t="inlineStr">
        <is>
          <t>Crutchfield current $719.99 pair; 5/5 from 2 reviews observed 2026-09-01.</t>
        </is>
      </c>
    </row>
    <row r="35">
      <c r="A35" s="15" t="inlineStr">
        <is>
          <t>Focal America ICC T3Y 100</t>
        </is>
      </c>
      <c r="B35" s="49" t="inlineStr">
        <is>
          <t>https://www.crutchfield.com/p_091ICCT3Y1/Focal-Inside-ICC-T3Y-100.html</t>
        </is>
      </c>
      <c r="C35" s="15" t="inlineStr">
        <is>
          <t>Crutchfield current $369.99; 3/5 from 1 review observed 2026-09-01.</t>
        </is>
      </c>
    </row>
    <row r="36">
      <c r="A36" s="15" t="inlineStr">
        <is>
          <t>Focal America IC T3Y 100</t>
        </is>
      </c>
      <c r="B36" s="49" t="inlineStr">
        <is>
          <t>https://www.crutchfield.com/p_091ICT3Y10/Focal-Inside-IC-T3Y-100.html</t>
        </is>
      </c>
      <c r="C36" s="15" t="inlineStr">
        <is>
          <t>Crutchfield current $629.99/pair; no reviews observed 2026-09-01.</t>
        </is>
      </c>
    </row>
    <row r="37">
      <c r="A37" s="15" t="inlineStr">
        <is>
          <t>China generic Tesla woofer benchmark</t>
        </is>
      </c>
      <c r="B37" s="49" t="inlineStr">
        <is>
          <t>https://bhyiming.en.made-in-china.com/product/IdetXGaKEOcp/China-Manufacturer-Plug-and-Play-System-Woofer-for-Tesla-Model-3-High-Sound-Quality-8-Inch-Car-Accesssories-Car-Audio-Subwoofers.html</t>
        </is>
      </c>
      <c r="C37" s="15" t="inlineStr">
        <is>
          <t>Wholesale generic Tesla product only; not genuine Focal and not SOP9 retail-verified. Do not treat as like-for-like comparison.</t>
        </is>
      </c>
    </row>
    <row r="38">
      <c r="A38" s="15" t="inlineStr">
        <is>
          <t>DLS CRPP-TSW.8 official</t>
        </is>
      </c>
      <c r="B38" s="49" t="inlineStr">
        <is>
          <t>https://dls.se/product/cruise-crpp-tsw-8/</t>
        </is>
      </c>
      <c r="C38" s="15" t="inlineStr">
        <is>
          <t>120W RMS / 240W MAX / 4Ω; model compatibility not specifically SOP9 2026.</t>
        </is>
      </c>
    </row>
    <row r="39">
      <c r="A39" s="15" t="inlineStr">
        <is>
          <t>Musway TES3YSET1 official</t>
        </is>
      </c>
      <c r="B39" s="49" t="inlineStr">
        <is>
          <t>https://musway.de/english/tes3yset1.html</t>
        </is>
      </c>
      <c r="C39" s="15" t="inlineStr">
        <is>
          <t>Set contents/spec source; generic Tesla Model 3/Y compatibility.</t>
        </is>
      </c>
    </row>
    <row r="40">
      <c r="A40" s="15" t="inlineStr">
        <is>
          <t>ESX TES3YSET2 official</t>
        </is>
      </c>
      <c r="B40" s="49" t="inlineStr">
        <is>
          <t>https://www.esxaudio.de/english/tes3yset2.html</t>
        </is>
      </c>
      <c r="C40" s="15" t="inlineStr">
        <is>
          <t>Set contents/spec source; generic Tesla Model 3/Y compatibility.</t>
        </is>
      </c>
    </row>
    <row r="41">
      <c r="A41" t="inlineStr">
        <is>
          <t>MB Car Audio Trustpilot</t>
        </is>
      </c>
      <c r="B41" t="inlineStr">
        <is>
          <t>https://nl.trustpilot.com/review/www.mbcaraudio.nl</t>
        </is>
      </c>
      <c r="C41" t="inlineStr">
        <is>
          <t>4.7/5, 84 reviews observed 2026-09-02</t>
        </is>
      </c>
    </row>
    <row r="42">
      <c r="A42" t="inlineStr">
        <is>
          <t>ARS24 Trustpilot</t>
        </is>
      </c>
      <c r="B42" t="inlineStr">
        <is>
          <t>https://www.trustpilot.com/review/www.ars24.com</t>
        </is>
      </c>
      <c r="C42" t="inlineStr">
        <is>
          <t>4.2/5, 583 reviews observed 2026-09-02</t>
        </is>
      </c>
    </row>
    <row r="43">
      <c r="A43" t="inlineStr">
        <is>
          <t>HFB Trusted Shops</t>
        </is>
      </c>
      <c r="B43" t="inlineStr">
        <is>
          <t>https://www.trustedshops.de/bewertung/info_X9946A4C75A92675289E0828A5F9168FF.html</t>
        </is>
      </c>
      <c r="C43" t="inlineStr">
        <is>
          <t>5.0/5, 22 verified reviews observed 2026-09-02</t>
        </is>
      </c>
    </row>
    <row r="44">
      <c r="A44" t="inlineStr">
        <is>
          <t>Skroutz Trustpilot</t>
        </is>
      </c>
      <c r="B44" t="inlineStr">
        <is>
          <t>https://www.trustpilot.com/review/skroutz.gr</t>
        </is>
      </c>
      <c r="C44" t="inlineStr">
        <is>
          <t>4.0/5, 4,117 reviews observed 2026-09-02; mixed after-sales feedback</t>
        </is>
      </c>
    </row>
    <row r="45">
      <c r="A45" t="inlineStr">
        <is>
          <t>PowerBass Tesla fitment manual</t>
        </is>
      </c>
      <c r="B45" t="inlineStr">
        <is>
          <t>https://powerbassusa.com/media/uploads_file/2025/08/13/a689d30a14704e8.91360818.pdf</t>
        </is>
      </c>
      <c r="C45" t="inlineStr">
        <is>
          <t>Official T3Y family Highland compatibility table</t>
        </is>
      </c>
    </row>
    <row r="46">
      <c r="A46" s="15" t="inlineStr">
        <is>
          <t>Tesla SOP9 Audio-LHD captured source</t>
        </is>
      </c>
      <c r="B46" s="15" t="inlineStr">
        <is>
          <t>audio_lhd_print.pdf + HAR audio_lhd.svg</t>
        </is>
      </c>
      <c r="C46" s="15" t="inlineStr">
        <is>
          <t>BAUDIO/PAUDIO option-gated speaker endpoints, MCU and pass-through routes.</t>
        </is>
      </c>
    </row>
    <row r="47">
      <c r="A47" s="15" t="inlineStr">
        <is>
          <t>Tesla SOP9 Audio-Premium Amp captured source</t>
        </is>
      </c>
      <c r="B47" s="15" t="inlineStr">
        <is>
          <t>audio_premium_amp_print.pdf + HAR audio_premium_amp.svg</t>
        </is>
      </c>
      <c r="C47" s="15" t="inlineStr">
        <is>
          <t>Premium Amp X560/X561/X563 outputs and PAUDIO-specific door/parcel endpoints.</t>
        </is>
      </c>
    </row>
    <row r="48">
      <c r="A48" s="15" t="inlineStr">
        <is>
          <t>Tesla SOP9 connector reference capture</t>
        </is>
      </c>
      <c r="B48" s="15" t="inlineStr">
        <is>
          <t>service.tesla.com3.har</t>
        </is>
      </c>
      <c r="C48" s="15" t="inlineStr">
        <is>
          <t>Connector housing PN, harness designator/name, cavity, wire and destination metadata.</t>
        </is>
      </c>
    </row>
    <row r="49">
      <c r="A49" s="15" t="inlineStr">
        <is>
          <t>Pioneer TS-WX1220AH official product</t>
        </is>
      </c>
      <c r="B49" s="95" t="inlineStr">
        <is>
          <t>https://pioneer-car.eu/ts-wx1220ah/ts-wx1220ah</t>
        </is>
      </c>
      <c r="C49" s="15" t="inlineStr">
        <is>
          <t>Official donor product: 2 × 30 cm, 1000 W nominal / 3000 W max complete system.</t>
        </is>
      </c>
    </row>
    <row r="50">
      <c r="A50" s="15" t="inlineStr">
        <is>
          <t>Pioneer TS-WX1220AH installation manual</t>
        </is>
      </c>
      <c r="B50" s="95" t="inlineStr">
        <is>
          <t>https://pioneer-car.eu/asset/installation_manuals/UPLOAD_ID_28783/bb886d2a0df764bbfca7a2d7de1562b67e31f364/</t>
        </is>
      </c>
      <c r="C50" s="15" t="inlineStr">
        <is>
          <t>Official donor electrical/amplifier data: 600 W RMS / 1200 W max amp, 10.8–15.1 V supply, 50 A max current, negative ground, 80 A fuse example, RCA/speaker-level input.</t>
        </is>
      </c>
    </row>
    <row r="51">
      <c r="A51" s="15" t="inlineStr">
        <is>
          <t>Tesla Model 3 low-voltage specification</t>
        </is>
      </c>
      <c r="B51" s="95" t="inlineStr">
        <is>
          <t>https://www.tesla.com/ownersmanual/model3/nl_nl/GUID-E414862C-CFA1-4A0B-9548-BE21C32CAA58.html</t>
        </is>
      </c>
      <c r="C51" s="15" t="inlineStr">
        <is>
          <t>Official Model 3 owner manual: low-voltage battery system listed at 15.5 V.</t>
        </is>
      </c>
    </row>
    <row r="52">
      <c r="A52" s="15" t="inlineStr">
        <is>
          <t>HELIX V EIGHTEEN DSP official</t>
        </is>
      </c>
      <c r="B52" s="15" t="inlineStr">
        <is>
          <t>https://www.audiotec-fischer.de/en/helix/amplifiers/v-eighteen-dsp</t>
        </is>
      </c>
      <c r="C52" s="15" t="inlineStr">
        <is>
          <t>18 amp / 20 DSP; CH1-12 up to 100W@3Ω; CH13-18 120W@2Ω; two RCA processed outs; 10.5–18V.</t>
        </is>
      </c>
    </row>
    <row r="53">
      <c r="A53" s="15" t="inlineStr">
        <is>
          <t>HELIX V EIGHTEEN DSP current NL price</t>
        </is>
      </c>
      <c r="B53" s="15" t="inlineStr">
        <is>
          <t>https://mbcaraudio.nl/versterkers-met-dsp/helix-v-eighteen-dsp.html</t>
        </is>
      </c>
      <c r="C53" s="15" t="inlineStr">
        <is>
          <t>€1,799 observed 2026-09-06.</t>
        </is>
      </c>
    </row>
    <row r="54">
      <c r="A54" s="15" t="inlineStr">
        <is>
          <t>HELIX DIRECTOR current NL price</t>
        </is>
      </c>
      <c r="B54" s="15" t="inlineStr">
        <is>
          <t>https://schutcarsystems.nl/product/helix-director/</t>
        </is>
      </c>
      <c r="C54" s="15" t="inlineStr">
        <is>
          <t>€299 observed 2026-09-06.</t>
        </is>
      </c>
    </row>
    <row r="55">
      <c r="A55" s="15" t="inlineStr">
        <is>
          <t>MATCH PP-TES 1.7B Highland current NL reference</t>
        </is>
      </c>
      <c r="B55" s="15" t="inlineStr">
        <is>
          <t>https://www.caraudio.nl/artikel/match/match-pp-tes-1-7b-highland-kabelset-voor-tesla-model-3-highland-y-juniper-met-base-audio-mapptes17bhl</t>
        </is>
      </c>
      <c r="C55" s="15" t="inlineStr">
        <is>
          <t>€129; official Highland standard-audio/Ryzen harness for UP10, used only as Tesla-side donor/interposer in V EIGHTEEN scenarios.</t>
        </is>
      </c>
    </row>
    <row r="56">
      <c r="A56" s="15" t="inlineStr">
        <is>
          <t>HELIX Ci5 S200FM-S2 official</t>
        </is>
      </c>
      <c r="B56" s="15" t="inlineStr">
        <is>
          <t>https://www.audiotec-fischer.de/en/helix/speakers/compose/i5/ci5-s200fm-s2</t>
        </is>
      </c>
      <c r="C56" s="15" t="inlineStr">
        <is>
          <t>2Ω; 200W RMS; 25–500Hz; 47mm; ±7.8mm; compatible FlexMount200.</t>
        </is>
      </c>
    </row>
    <row r="57">
      <c r="A57" s="15" t="inlineStr">
        <is>
          <t>HELIX Ci5 S200FM-S2 DE price</t>
        </is>
      </c>
      <c r="B57" s="15" t="inlineStr">
        <is>
          <t>https://shop.hfb.audio/produkte-fuers-auto/lautsprecher/824/helix-ci5-s200fm-s2-20cm-tiefton-lautsprecher-mit-geringer-einbautiefe</t>
        </is>
      </c>
      <c r="C57" s="15" t="inlineStr">
        <is>
          <t>€299/pair observed 2026-09-06.</t>
        </is>
      </c>
    </row>
    <row r="58">
      <c r="A58" s="15" t="inlineStr">
        <is>
          <t>HELIX Ci5 M80FM-S3 official</t>
        </is>
      </c>
      <c r="B58" s="15" t="inlineStr">
        <is>
          <t>https://www.audiotec-fischer.de/en/helix/speakers/compose/i5/ci5-m80fm-s3</t>
        </is>
      </c>
      <c r="C58" s="15" t="inlineStr">
        <is>
          <t>3Ω; 90W RMS; 200–6000Hz; FlexMount80, CFMK80-100 path to FlexMount100.</t>
        </is>
      </c>
    </row>
    <row r="59">
      <c r="A59" s="15" t="inlineStr">
        <is>
          <t>HELIX Ci5 M80FM-S3 DE price</t>
        </is>
      </c>
      <c r="B59" s="15" t="inlineStr">
        <is>
          <t>https://shop.hfb.audio/produkte-fuers-auto/lautsprecher/1098/helix-ci5-m80fm-s3-8cm-mitteltoener</t>
        </is>
      </c>
      <c r="C59" s="15" t="inlineStr">
        <is>
          <t>€199/pair observed 2026-09-06.</t>
        </is>
      </c>
    </row>
    <row r="60">
      <c r="A60" s="15" t="inlineStr">
        <is>
          <t>HELIX Ci5 M50FM-S3 official</t>
        </is>
      </c>
      <c r="B60" s="15" t="inlineStr">
        <is>
          <t>https://www.audiotec-fischer.de/en/helix/speakers/compose/i5/ci5-m50fm-s3</t>
        </is>
      </c>
      <c r="C60" s="15" t="inlineStr">
        <is>
          <t>3Ω; 70W RMS; 300–20kHz; 50mm wideband.</t>
        </is>
      </c>
    </row>
    <row r="61">
      <c r="A61" s="15" t="inlineStr">
        <is>
          <t>HELIX Ci5 M50FM-S3 DE price</t>
        </is>
      </c>
      <c r="B61" s="15" t="inlineStr">
        <is>
          <t>https://shop.hfb.audio/produkte-fuers-auto/lautsprecher/1097/helix-ci5-m50fm-s3-5cm-breitbaender-bzw.-mitteltoener</t>
        </is>
      </c>
      <c r="C61" s="15" t="inlineStr">
        <is>
          <t>€169/pair observed 2026-09-06.</t>
        </is>
      </c>
    </row>
    <row r="62">
      <c r="A62" s="15" t="inlineStr">
        <is>
          <t>HELIX Ci7 W200FM-S3 official</t>
        </is>
      </c>
      <c r="B62" s="15" t="inlineStr">
        <is>
          <t>https://www.audiotec-fischer.de/en/helix/speakers/compose/i7/ci7-w200fm-s3</t>
        </is>
      </c>
      <c r="C62" s="15" t="inlineStr">
        <is>
          <t>3Ω; 150W RMS; 35–2500Hz; 65.8mm; UHD paper; FlexMount200.</t>
        </is>
      </c>
    </row>
    <row r="63">
      <c r="A63" s="15" t="inlineStr">
        <is>
          <t>HELIX Ci7 W200FM-S3 DE price</t>
        </is>
      </c>
      <c r="B63" s="15" t="inlineStr">
        <is>
          <t>https://shop.hfb.audio/produkte-fuers-auto/lautsprecher/817/helix-ci7-w200fm-s3-20cm-highend-mittel/tiefton-lautsprecher</t>
        </is>
      </c>
      <c r="C63" s="15" t="inlineStr">
        <is>
          <t>€509/pair observed 2026-09-06.</t>
        </is>
      </c>
    </row>
    <row r="64">
      <c r="A64" s="15" t="inlineStr">
        <is>
          <t>HELIX Ci7 M100FM-S3 official</t>
        </is>
      </c>
      <c r="B64" s="15" t="inlineStr">
        <is>
          <t>https://www.audiotec-fischer.de/en/helix/speakers/compose/i7/ci7-m100fm-s3</t>
        </is>
      </c>
      <c r="C64" s="15" t="inlineStr">
        <is>
          <t>3Ω; 100W RMS; 110–7000Hz; FlexMount100; Made in Germany.</t>
        </is>
      </c>
    </row>
    <row r="65">
      <c r="A65" s="15" t="inlineStr">
        <is>
          <t>HELIX Ci7 M100FM-S3 DE price</t>
        </is>
      </c>
      <c r="B65" s="15" t="inlineStr">
        <is>
          <t>https://shop.hfb.audio/produkte-fuers-auto/lautsprecher/819/helix-ci7-m100fm-s3-10cm-highend-mittelton-lautsprecher</t>
        </is>
      </c>
      <c r="C65" s="15" t="inlineStr">
        <is>
          <t>€399/pair observed 2026-09-06.</t>
        </is>
      </c>
    </row>
    <row r="66">
      <c r="A66" s="15" t="inlineStr">
        <is>
          <t>HELIX Ci7 T20FM-SC official</t>
        </is>
      </c>
      <c r="B66" s="15" t="inlineStr">
        <is>
          <t>https://www.audiotec-fischer.de/en/helix/speakers/compose/i7/ci7-t20fm-sc</t>
        </is>
      </c>
      <c r="C66" s="15" t="inlineStr">
        <is>
          <t>4Ω; 1.5–30kHz; Tesla-compatible FlexMount20 adapter family; Made in Germany.</t>
        </is>
      </c>
    </row>
    <row r="67">
      <c r="A67" s="15" t="inlineStr">
        <is>
          <t>HELIX Ci7 T20FM-SC DE price</t>
        </is>
      </c>
      <c r="B67" s="15" t="inlineStr">
        <is>
          <t>https://shop.hfb.audio/produkte-fuers-auto/lautsprecher/816/helix-ci7-t20fm-sc-high-end-hochtoener</t>
        </is>
      </c>
      <c r="C67" s="15" t="inlineStr">
        <is>
          <t>€399/pair observed 2026-09-06.</t>
        </is>
      </c>
    </row>
    <row r="68">
      <c r="A68" s="15" t="inlineStr">
        <is>
          <t>HELIX Ci3 C100.2FM-S3 MK2 center official</t>
        </is>
      </c>
      <c r="B68" s="15" t="inlineStr">
        <is>
          <t>https://www.audiotec-fischer.de/en/helix/speakers/compose/i3/ci3-c100-2fm-s3-mk2</t>
        </is>
      </c>
      <c r="C68" s="15" t="inlineStr">
        <is>
          <t>3Ω coax; 80W RMS; 100–25kHz; FlexMount100.</t>
        </is>
      </c>
    </row>
    <row r="69">
      <c r="A69" s="15" t="inlineStr">
        <is>
          <t>HELIX Ci3 C100.2FM-S3 MK2 DE price</t>
        </is>
      </c>
      <c r="B69" s="15" t="inlineStr">
        <is>
          <t>https://shop.hfb.audio/produkte-fuers-auto/lautsprecher/1063/helix-ci3-c100.2fm-s3-mk2</t>
        </is>
      </c>
      <c r="C69" s="15" t="inlineStr">
        <is>
          <t>€199/pair observed 2026-09-06.</t>
        </is>
      </c>
    </row>
    <row r="70">
      <c r="A70" s="15" t="inlineStr">
        <is>
          <t>HELIX CFMK200 TES.1 official</t>
        </is>
      </c>
      <c r="B70" s="15" t="inlineStr">
        <is>
          <t>https://www.audiotec-fischer.de/en/helix/speakers/compose/flexmounts/cfmk200-tes-1-fdm</t>
        </is>
      </c>
      <c r="C70" s="15" t="inlineStr">
        <is>
          <t>Tesla Model 3 FlexMount200; official speaker compatibility includes i5 S200FM-S2 and i7 W200FM-S3.</t>
        </is>
      </c>
    </row>
    <row r="71">
      <c r="A71" s="15" t="inlineStr">
        <is>
          <t>HELIX CFMK200 TES.1 DE price</t>
        </is>
      </c>
      <c r="B71" s="15" t="inlineStr">
        <is>
          <t>https://www.caraudio-store.de/Helix_s11</t>
        </is>
      </c>
      <c r="C71" s="15" t="inlineStr">
        <is>
          <t>€99/pair observed 2026-09-06.</t>
        </is>
      </c>
    </row>
    <row r="72">
      <c r="A72" s="15" t="inlineStr">
        <is>
          <t>HELIX CFMK20 TES.1 official</t>
        </is>
      </c>
      <c r="B72" s="15" t="inlineStr">
        <is>
          <t>https://www.audiotec-fischer.de/en/helix/speakers/compose/flexmounts/cfmk20-tes-1</t>
        </is>
      </c>
      <c r="C72" s="15" t="inlineStr">
        <is>
          <t>Tesla 20mm adapter; supports Ci7 T20FM-SC.</t>
        </is>
      </c>
    </row>
    <row r="73">
      <c r="A73" s="15" t="inlineStr">
        <is>
          <t>HELIX CFMK20 TES.1 DE price</t>
        </is>
      </c>
      <c r="B73" s="15" t="inlineStr">
        <is>
          <t>https://www.carfeature.de/de/hifi-navigation/zubehoer/lautsprecherringe/fuer-einbau/25934/helix-cfmk20-tes.1-adapterringe-fuer-tesla</t>
        </is>
      </c>
      <c r="C73" s="15" t="inlineStr">
        <is>
          <t>€15.70/pair observed 2026-09-06.</t>
        </is>
      </c>
    </row>
    <row r="74">
      <c r="A74" s="15" t="inlineStr">
        <is>
          <t>HELIX CFMK100 TES.1 official</t>
        </is>
      </c>
      <c r="B74" s="15" t="inlineStr">
        <is>
          <t>https://www.audiotec-fischer.de/en/helix/speakers/compose/flexmounts/cfmk100-tes-1</t>
        </is>
      </c>
      <c r="C74" s="15" t="inlineStr">
        <is>
          <t>Tesla 100mm adapter; supports Ci7 M100 and Ci3 C100 family.</t>
        </is>
      </c>
    </row>
    <row r="75">
      <c r="A75" s="15" t="inlineStr">
        <is>
          <t>HELIX CFMK100 TES.1 DE price</t>
        </is>
      </c>
      <c r="B75" s="15" t="inlineStr">
        <is>
          <t>https://www.carhifi-store-buende.de/helix-flexmount-cfmk100-tes.1</t>
        </is>
      </c>
      <c r="C75" s="15" t="inlineStr">
        <is>
          <t>€19.99/pair observed 2026-09-06.</t>
        </is>
      </c>
    </row>
    <row r="76">
      <c r="A76" s="15" t="inlineStr">
        <is>
          <t>HELIX CFMK80-100 official</t>
        </is>
      </c>
      <c r="B76" s="15" t="inlineStr">
        <is>
          <t>https://www.audiotec-fischer.de/en/helix/speakers/compose/flexmounts/cfmk80-100</t>
        </is>
      </c>
      <c r="C76" s="15" t="inlineStr">
        <is>
          <t>Allows Ci5 M80FM-S3 in 100mm FlexMount positions.</t>
        </is>
      </c>
    </row>
    <row r="77">
      <c r="A77" s="15" t="inlineStr">
        <is>
          <t>HELIX CFMK80-100 DE price</t>
        </is>
      </c>
      <c r="B77" s="15" t="inlineStr">
        <is>
          <t>https://just-sound.de/HELIX-CFMK80-100-FlexMount80-100-Adapterringe</t>
        </is>
      </c>
      <c r="C77" s="15" t="inlineStr">
        <is>
          <t>€19.99/pair observed 2026-09-06.</t>
        </is>
      </c>
    </row>
    <row r="78">
      <c r="A78" s="15" t="inlineStr">
        <is>
          <t>Highland i7 real-world commercial system</t>
        </is>
      </c>
      <c r="B78" s="15" t="inlineStr">
        <is>
          <t>https://www.carhifi-store-buende.de/tesla-model-3-sr-highland-soundxtreme</t>
        </is>
      </c>
      <c r="C78" s="15" t="inlineStr">
        <is>
          <t>Current Model 3 Highland soundXTREME uses HELIX Compose i7 woofer/mid/tweeter + i3 center; evidence for i7 front-stage fit philosophy.</t>
        </is>
      </c>
    </row>
    <row r="79">
      <c r="A79" s="15" t="inlineStr">
        <is>
          <t>Highland Ci5 S200 + Tesla adapter bundle</t>
        </is>
      </c>
      <c r="B79" s="15" t="inlineStr">
        <is>
          <t>https://tendersounds.co.uk/products/helix-ci5-s200fm-s2-helix-cfmk200-tes-1-fdm-bundle-ci21804-ci42204</t>
        </is>
      </c>
      <c r="C79" s="15" t="inlineStr">
        <is>
          <t>Retailer explicitly lists Tesla Model 3 Highland 09/2023-today front-door fit for S200 + CFMK200 TES.1.</t>
        </is>
      </c>
    </row>
    <row r="80">
      <c r="A80" s="15" t="inlineStr">
        <is>
          <t>Highland Ci7 W200 + Tesla adapter bundle</t>
        </is>
      </c>
      <c r="B80" s="15" t="inlineStr">
        <is>
          <t>https://tendersounds.co.uk/products/helix-ci7-w200fm-s3-sg-helix-cfmk200-tes-1-fdm-bundle-ci21802-ci42204</t>
        </is>
      </c>
      <c r="C80" s="15" t="inlineStr">
        <is>
          <t>Retailer explicitly lists Tesla Model 3 Highland 09/2023-today front-door fit.</t>
        </is>
      </c>
    </row>
    <row r="81">
      <c r="A81" s="15" t="inlineStr">
        <is>
          <t>Highland Ci7 M100 + Tesla adapter bundle</t>
        </is>
      </c>
      <c r="B81" s="15" t="inlineStr">
        <is>
          <t>https://tendersounds.co.uk/products/helix-ci7-m100fm-s3-helix-cfmk100-tes-1-bundle-ci21401-ci41002</t>
        </is>
      </c>
      <c r="C81" s="15" t="inlineStr">
        <is>
          <t>Retailer explicitly lists Tesla Model 3 Highland 09/2023-today front-door fit.</t>
        </is>
      </c>
    </row>
    <row r="82">
      <c r="A82" s="15" t="inlineStr">
        <is>
          <t>HELIX V EIGHTEEN official</t>
        </is>
      </c>
      <c r="B82" s="43" t="inlineStr">
        <is>
          <t>https://www.audiotec-fischer.de/en/helix/amplifiers/v-eighteen-dsp</t>
        </is>
      </c>
      <c r="C82" s="15" t="inlineStr">
        <is>
          <t>18 amp / 20 DSP, 18 speaker outputs + 2 processed RCA, 10.5–18V.</t>
        </is>
      </c>
    </row>
    <row r="83">
      <c r="A83" s="15" t="inlineStr">
        <is>
          <t>HELIX NEXT V EIGHT DSP ULTIMATE official</t>
        </is>
      </c>
      <c r="B83" s="43" t="inlineStr">
        <is>
          <t>https://www.audiotec-fischer.de/en/helix/amplifiers/next/v-eight-dsp-ultimate</t>
        </is>
      </c>
      <c r="C83" s="15" t="inlineStr">
        <is>
          <t>8 amp / 14 DSP, 6 processed RCA outputs; designed for expansion.</t>
        </is>
      </c>
    </row>
    <row r="84">
      <c r="A84" s="15" t="inlineStr">
        <is>
          <t>HELIX V TWELVE DSP MK2 official</t>
        </is>
      </c>
      <c r="B84" s="43" t="inlineStr">
        <is>
          <t>https://www.audiotec-fischer.de/en/helix/amplifiers/v-twelve-dsp-mk2</t>
        </is>
      </c>
      <c r="C84" s="15" t="inlineStr">
        <is>
          <t>12 amp / 14 DSP, 2 processed RCA outputs.</t>
        </is>
      </c>
    </row>
    <row r="85">
      <c r="A85" s="15" t="inlineStr">
        <is>
          <t>HELIX AMPLIFY 206 DIRECT official</t>
        </is>
      </c>
      <c r="B85" s="43" t="inlineStr">
        <is>
          <t>https://www.audiotec-fischer.de/en/helix/amplifiers/amplify/2-series/206-direct</t>
        </is>
      </c>
      <c r="C85" s="15" t="inlineStr">
        <is>
          <t>6-channel DirectDSP amplifier, 6x100W@4Ω / 6x190W@2Ω.</t>
        </is>
      </c>
    </row>
    <row r="86">
      <c r="A86" s="15" t="inlineStr">
        <is>
          <t>HELIX AMPLIFY 206 DSP official</t>
        </is>
      </c>
      <c r="B86" s="43" t="inlineStr">
        <is>
          <t>https://www.audiotec-fischer.de/en/helix/amplifiers/amplify/2-series/206-dsp</t>
        </is>
      </c>
      <c r="C86" s="15" t="inlineStr">
        <is>
          <t>6 amp / 8 DSP, RCA/highlevel input, 2 processed RCA outputs.</t>
        </is>
      </c>
    </row>
    <row r="87">
      <c r="A87" s="15" t="inlineStr">
        <is>
          <t>HELIX DE DSP amplifier prices</t>
        </is>
      </c>
      <c r="B87" s="43" t="inlineStr">
        <is>
          <t>https://www.caraudio-store.de/DSP-Verstaerker</t>
        </is>
      </c>
      <c r="C87" s="15" t="inlineStr">
        <is>
          <t>Current: V EIGHT ULTIMATE €1,349; V EIGHTEEN €1,799.</t>
        </is>
      </c>
    </row>
    <row r="88">
      <c r="A88" s="15" t="inlineStr">
        <is>
          <t>HELIX DIRECTOR for SCP DE</t>
        </is>
      </c>
      <c r="B88" s="43" t="inlineStr">
        <is>
          <t>https://www.caraudio-store.de/Helix-DIRECTOR-for-SCP</t>
        </is>
      </c>
      <c r="C88" s="15" t="inlineStr">
        <is>
          <t>€249 current DE touchscreen controller.</t>
        </is>
      </c>
    </row>
    <row r="89">
      <c r="A89" s="15" t="inlineStr">
        <is>
          <t>HELIX Highland Ci3 budget kit DE</t>
        </is>
      </c>
      <c r="B89" s="43" t="inlineStr">
        <is>
          <t>https://www.carhifi-store-buende.de/compose-ci3-k200.2tes4-tesla-model-3-highland</t>
        </is>
      </c>
      <c r="C89" s="15" t="inlineStr">
        <is>
          <t>€729 current Highland-specific front+center package.</t>
        </is>
      </c>
    </row>
    <row r="90">
      <c r="A90" s="15" t="inlineStr">
        <is>
          <t>HELIX Ci3 M100 FR-facing / EU reference</t>
        </is>
      </c>
      <c r="B90" s="43" t="inlineStr">
        <is>
          <t>https://www.type-rsound.com/en/helix-ci3-m100fm-s3.html</t>
        </is>
      </c>
      <c r="C90" s="15" t="inlineStr">
        <is>
          <t>€149 per pair; same as DE current price.</t>
        </is>
      </c>
    </row>
    <row r="91">
      <c r="A91" s="15" t="inlineStr">
        <is>
          <t>HELIX V TWELVE DE/FR shipping</t>
        </is>
      </c>
      <c r="B91" s="43" t="inlineStr">
        <is>
          <t>https://www.ars24.com/en/helix-v-twelve-dsp-mk2</t>
        </is>
      </c>
      <c r="C91" s="15" t="inlineStr">
        <is>
          <t>€1,499; ARS24 states HELIX shipping only to Germany, Austria and France.</t>
        </is>
      </c>
    </row>
    <row r="92">
      <c r="A92" s="15" t="inlineStr">
        <is>
          <t>Caraudio-store foreign shipping</t>
        </is>
      </c>
      <c r="B92" s="43" t="inlineStr">
        <is>
          <t>https://www.caraudio-store.de/Zahlung-und-Versand</t>
        </is>
      </c>
      <c r="C92" s="15" t="inlineStr">
        <is>
          <t>Zone 1 Belgium/France/Netherlands: €15.90 standard parcel.</t>
        </is>
      </c>
    </row>
    <row r="93">
      <c r="A93" s="15" t="inlineStr">
        <is>
          <t>HifiMotive NL/BE HELIX RRP</t>
        </is>
      </c>
      <c r="B93" s="43" t="inlineStr">
        <is>
          <t>https://www.caraudio.nl/artikel/helix/helix-v-eighteen-dsp-18-kanaals-versterker-met-20-kanaals-dsp-heveighteen</t>
        </is>
      </c>
      <c r="C93" s="15" t="inlineStr">
        <is>
          <t>V EIGHTEEN €1,799 RRP, DIRECTOR SCP €299 RRP; Belgium dealer locator.</t>
        </is>
      </c>
    </row>
    <row r="94">
      <c r="A94" s="15" t="inlineStr">
        <is>
          <t>Kleinanzeigen current HELIX DSP search</t>
        </is>
      </c>
      <c r="B94" s="43" t="inlineStr">
        <is>
          <t>https://www.kleinanzeigen.de/s-auto-rad-boot/helix-dsp/k0c210</t>
        </is>
      </c>
      <c r="C94" s="15" t="inlineStr">
        <is>
          <t>2026-09-06: V TWELVE DSP MK2 current indexed listing €1,050; private/used.</t>
        </is>
      </c>
    </row>
    <row r="95">
      <c r="A95" s="15" t="inlineStr">
        <is>
          <t>HELIX DSP MINI MK2 DE</t>
        </is>
      </c>
      <c r="B95" s="43" t="inlineStr">
        <is>
          <t>https://www.caraudio-store.de/Helix_s3</t>
        </is>
      </c>
      <c r="C95" s="15" t="inlineStr">
        <is>
          <t>€399 current; used only as a future staged second-DSP option.</t>
        </is>
      </c>
    </row>
    <row r="96">
      <c r="A96" s="15" t="inlineStr">
        <is>
          <t>HELIX V EIGHTEEN DSP official</t>
        </is>
      </c>
      <c r="B96" s="15" t="inlineStr">
        <is>
          <t>https://www.audiotec-fischer.de/helix/verstaerker/v-eighteen-dsp</t>
        </is>
      </c>
      <c r="C96" s="15" t="inlineStr">
        <is>
          <t>18 amplified / 20 DSP channels; one-box full-active reference.</t>
        </is>
      </c>
    </row>
    <row r="97">
      <c r="A97" s="15" t="inlineStr">
        <is>
          <t>HELIX V TWELVE DSP MK2 ARS24</t>
        </is>
      </c>
      <c r="B97" s="15" t="inlineStr">
        <is>
          <t>https://www.ars24.com/en/helix-v-twelve-dsp-mk2</t>
        </is>
      </c>
      <c r="C97" s="15" t="inlineStr">
        <is>
          <t>€1,499 current; 12 amp / 14 DSP; ARS24 HELIX shipping limited to DE/AT/FR.</t>
        </is>
      </c>
    </row>
    <row r="98">
      <c r="A98" s="15" t="inlineStr">
        <is>
          <t>HELIX NEXT V EIGHT DSP ULTIMATE MediaMarkt/Audiomativ</t>
        </is>
      </c>
      <c r="B98" s="15" t="inlineStr">
        <is>
          <t>https://www.mediamarkt.de/de/product/_helix-next-v-eight-dsp-ultimate-verstarker-159190333.html</t>
        </is>
      </c>
      <c r="C98" s="15" t="inlineStr">
        <is>
          <t>€1,349 current; 8 amp / 14 DSP and 6 processed RCA outputs.</t>
        </is>
      </c>
    </row>
    <row r="99">
      <c r="A99" s="15" t="inlineStr">
        <is>
          <t>HELIX legacy V EIGHT DSP clearance ARS24</t>
        </is>
      </c>
      <c r="B99" s="15" t="inlineStr">
        <is>
          <t>https://www.ars24.com/en/helix-v-eight-dsp</t>
        </is>
      </c>
      <c r="C99" s="15" t="inlineStr">
        <is>
          <t>€949 new-old-stock/clearance; 8 amp / 10 DSP / 2 processed RCA.</t>
        </is>
      </c>
    </row>
    <row r="100">
      <c r="A100" s="15" t="inlineStr">
        <is>
          <t>HELIX AMPLIFY 206 DIRECT official</t>
        </is>
      </c>
      <c r="B100" s="15" t="inlineStr">
        <is>
          <t>https://www.audiotec-fischer.de/en/helix/amplifiers/amplify/2-series/206-direct</t>
        </is>
      </c>
      <c r="C100" s="15" t="inlineStr">
        <is>
          <t>6x100W@4Ω / 6x190W@2Ω; DirectDSP expansion amp.</t>
        </is>
      </c>
    </row>
    <row r="101">
      <c r="A101" s="15" t="inlineStr">
        <is>
          <t>HELIX AMPLIFY 206 DSP ARS24</t>
        </is>
      </c>
      <c r="B101" s="15" t="inlineStr">
        <is>
          <t>https://www.ars24.com/en/helix-amplify-206-dsp</t>
        </is>
      </c>
      <c r="C101" s="15" t="inlineStr">
        <is>
          <t>€599 current; 6 amplified + 8 DSP, 2 processed RCA.</t>
        </is>
      </c>
    </row>
    <row r="102">
      <c r="A102" s="15" t="inlineStr">
        <is>
          <t>HELIX AMPLIFY 204 DIRECT HifiMotive</t>
        </is>
      </c>
      <c r="B102" s="15" t="inlineStr">
        <is>
          <t>https://www.caraudio.nl/artikel/helix/helix-amplify-204-direct-4-kanaals-versterker-met-directe-dsp-ingang-heamp204direct</t>
        </is>
      </c>
      <c r="C102" s="15" t="inlineStr">
        <is>
          <t>€239 RRP; 4-channel DirectDSP extension.</t>
        </is>
      </c>
    </row>
    <row r="103">
      <c r="A103" s="15" t="inlineStr">
        <is>
          <t>HELIX Compose Highland package</t>
        </is>
      </c>
      <c r="B103" s="15" t="inlineStr">
        <is>
          <t>https://www.carhifi-store-buende.de/compose-ci3-k200.2tes4-tesla-model-3-highland</t>
        </is>
      </c>
      <c r="C103" s="15" t="inlineStr">
        <is>
          <t>€729, seven physical front/center speakers including adapters/connectors.</t>
        </is>
      </c>
    </row>
    <row r="104">
      <c r="A104" s="15" t="inlineStr">
        <is>
          <t>Caraudio-store cross-border shipping</t>
        </is>
      </c>
      <c r="B104" s="15" t="inlineStr">
        <is>
          <t>https://www.caraudio-store.de/Zahlung-und-Versand</t>
        </is>
      </c>
      <c r="C104" s="15" t="inlineStr">
        <is>
          <t>Standard Zone 1 parcel €15.90 to Belgium, France and Netherlands.</t>
        </is>
      </c>
    </row>
    <row r="105">
      <c r="A105" s="15" t="inlineStr">
        <is>
          <t>Current used V TWELVE search</t>
        </is>
      </c>
      <c r="B105" s="15" t="inlineStr">
        <is>
          <t>https://www.kleinanzeigen.de/s-helix-dsp-mk2/k0</t>
        </is>
      </c>
      <c r="C105" s="15" t="inlineStr">
        <is>
          <t>Current indexed used V TWELVE MK2 offers €1,200–€1,250; private-sale risk.</t>
        </is>
      </c>
    </row>
    <row r="106">
      <c r="A106" t="inlineStr">
        <is>
          <t>HELIX DIRECTOR compatibility matrix</t>
        </is>
      </c>
      <c r="B106" t="inlineStr">
        <is>
          <t>https://www.audiotec-fischer.de/en/brax/accessories/director-display-remote-control</t>
        </is>
      </c>
      <c r="C106" t="inlineStr">
        <is>
          <t>Current V EIGHTEEN/V TWELVE MK2/NEXT V EIGHT use SCP; legacy V EIGHT MK1/MK2 uses Control Input. Same display concept, connector variant differs.</t>
        </is>
      </c>
    </row>
    <row r="107">
      <c r="A107" s="15" t="inlineStr">
        <is>
          <t>HifiMotive BOXMORE / HELIX collaboration</t>
        </is>
      </c>
      <c r="B107" s="156" t="inlineStr">
        <is>
          <t>https://www.caraudio.nl/over-ons/hifimotive</t>
        </is>
      </c>
      <c r="C107" s="15" t="inlineStr">
        <is>
          <t>Official HifiMotive statement: in-house BOXMORE development; collaboration with Audiotec Fischer; since 2023 HifiMotive-developed speakers sold worldwide as HELIX Compose.</t>
        </is>
      </c>
    </row>
    <row r="108">
      <c r="A108" s="15" t="inlineStr">
        <is>
          <t>BOXMORE BXS W200 S3.1</t>
        </is>
      </c>
      <c r="B108" s="156" t="inlineStr">
        <is>
          <t>https://www.caraudio.nl/artikel/boxmore/boxmore-bxs-w200-s3-1-specialist-200-mm-woofer-set-bxsw200s3_1</t>
        </is>
      </c>
      <c r="C108" s="15" t="inlineStr">
        <is>
          <t>NL/BE RRP €399; 3Ω, 150W RMS; current 2026 product reference.</t>
        </is>
      </c>
    </row>
    <row r="109">
      <c r="A109" s="15" t="inlineStr">
        <is>
          <t>BOXMORE BXS M100FL S3.1</t>
        </is>
      </c>
      <c r="B109" s="156" t="inlineStr">
        <is>
          <t>https://www.caraudio.nl/artikel/boxmore-bxs-m100fl-s3-1-100-mm-shallow-midrange-set-bxsm100fls3_1</t>
        </is>
      </c>
      <c r="C109" s="15" t="inlineStr">
        <is>
          <t>NL/BE RRP €269; 3Ω, 90W RMS; current 2026 product reference.</t>
        </is>
      </c>
    </row>
    <row r="110">
      <c r="A110" s="15" t="inlineStr">
        <is>
          <t>BOXMORE BXS T20RC.1</t>
        </is>
      </c>
      <c r="B110" s="156" t="inlineStr">
        <is>
          <t>https://www.caraudio.nl/artikel/boxmore-bxs-t20rc-1-20-mm-soft-dome-tweeters-set-bxst20rc_1</t>
        </is>
      </c>
      <c r="C110" s="15" t="inlineStr">
        <is>
          <t>NL/BE RRP €249; 20mm soft-dome pair.</t>
        </is>
      </c>
    </row>
    <row r="111">
      <c r="A111" s="15" t="inlineStr">
        <is>
          <t>CarHifi-Store Bünde Model 3 Highland</t>
        </is>
      </c>
      <c r="B111" s="156" t="inlineStr">
        <is>
          <t>https://www.carhifi-store-buende.de/lautsprecher/nach-fahrzeug/tesla/model-3-highland/</t>
        </is>
      </c>
      <c r="C111" s="15" t="inlineStr">
        <is>
          <t>Current genuine HELIX Highland package source; K200.2TES4 €729 and in-stock listing.</t>
        </is>
      </c>
    </row>
    <row r="112">
      <c r="A112" s="15" t="inlineStr">
        <is>
          <t>CarHifi-Store Bünde HELIX amplifiers</t>
        </is>
      </c>
      <c r="B112" s="156" t="inlineStr">
        <is>
          <t>https://www.carhifi-store-buende.de/endstufen/</t>
        </is>
      </c>
      <c r="C112" s="15" t="inlineStr">
        <is>
          <t>V EIGHTEEN €1,799, listed available in 4 days on 2026-09-10.</t>
        </is>
      </c>
    </row>
    <row r="113">
      <c r="A113" s="15" t="inlineStr">
        <is>
          <t>CarHifi-Store Bünde PP-TES 1.7B Highland</t>
        </is>
      </c>
      <c r="B113" s="156" t="inlineStr">
        <is>
          <t>https://www.carhifi-store-buende.de/match-pp-tes-1.7b-highland</t>
        </is>
      </c>
      <c r="C113" s="15" t="inlineStr">
        <is>
          <t>€129; immediate listing; officially designed around MATCH UP10.</t>
        </is>
      </c>
    </row>
    <row r="114">
      <c r="A114" s="15" t="inlineStr">
        <is>
          <t>ARS24 HELIX DIRECTOR for SCP</t>
        </is>
      </c>
      <c r="B114" s="156" t="inlineStr">
        <is>
          <t>https://www.ars24.com/en/helix-director-for-scp</t>
        </is>
      </c>
      <c r="C114" s="15" t="inlineStr">
        <is>
          <t>€249; 2–3 days; HELIX shipping only to DE/AT/FR in current listing.</t>
        </is>
      </c>
    </row>
    <row r="115">
      <c r="A115" s="15" t="inlineStr">
        <is>
          <t>HELIX Ci7 W200 official</t>
        </is>
      </c>
      <c r="B115" s="156" t="inlineStr">
        <is>
          <t>https://www.audiotec-fischer.de/en/helix/speakers/compose/i7/ci7-w200fm-s3</t>
        </is>
      </c>
      <c r="C115" s="15" t="inlineStr">
        <is>
          <t>Official 3Ω / 150W RMS / 65.8mm depth technical reference.</t>
        </is>
      </c>
    </row>
    <row r="116">
      <c r="A116" s="15" t="inlineStr">
        <is>
          <t>HELIX Ci7 M100 official</t>
        </is>
      </c>
      <c r="B116" s="156" t="inlineStr">
        <is>
          <t>https://www.audiotec-fischer.de/en/helix/speakers/compose/i7/ci7-m100fm-s3</t>
        </is>
      </c>
      <c r="C116" s="15" t="inlineStr">
        <is>
          <t>Official 3Ω / 100W RMS / 26.9mm depth technical reference.</t>
        </is>
      </c>
    </row>
    <row r="117">
      <c r="A117" s="15" t="inlineStr">
        <is>
          <t>HELIX Ci7 T20 official</t>
        </is>
      </c>
      <c r="B117" s="156" t="inlineStr">
        <is>
          <t>https://www.audiotec-fischer.de/en/helix/speakers/compose/i7/ci7-t20fm-sc</t>
        </is>
      </c>
      <c r="C117" s="15" t="inlineStr">
        <is>
          <t>Official 20mm silk-dome / FlexMount20 technical reference.</t>
        </is>
      </c>
    </row>
    <row r="118">
      <c r="A118" s="15" t="inlineStr">
        <is>
          <t>Supplier correspondence — MB Car Audio</t>
        </is>
      </c>
      <c r="B118" s="156" t="inlineStr">
        <is>
          <t>User-supplied email, 2026-09-08 and 2026-09-09</t>
        </is>
      </c>
      <c r="C118" s="15" t="inlineStr">
        <is>
          <t>Neutral summary only; raw email and personal contact details intentionally not embedded in distributable package.</t>
        </is>
      </c>
    </row>
    <row r="119">
      <c r="A119" s="15" t="inlineStr">
        <is>
          <t>Supplier correspondence — Schut Car Systems</t>
        </is>
      </c>
      <c r="B119" s="156" t="inlineStr">
        <is>
          <t>User-supplied email, 2026-09-08</t>
        </is>
      </c>
      <c r="C119" s="15" t="inlineStr">
        <is>
          <t>Neutral summary only; raw email and personal contact details intentionally not embedded in distributable package.</t>
        </is>
      </c>
    </row>
    <row r="120">
      <c r="A120" s="15" t="inlineStr">
        <is>
          <t>MATCH UP 1FX official</t>
        </is>
      </c>
      <c r="B120" s="156" t="inlineStr">
        <is>
          <t>https://www.audiotec-fischer.de/en/match/amplifiers/up-1fx</t>
        </is>
      </c>
      <c r="C120" s="15" t="inlineStr">
        <is>
          <t>10.5–18 V; 350 W@4 Ω, 600 W@2 Ω, 900 W@1 Ω; 1 Ω stable; RCA/high-level/remote; DirectDSP.</t>
        </is>
      </c>
    </row>
    <row r="121">
      <c r="A121" s="15" t="inlineStr">
        <is>
          <t>MATCH UP 1FX ARS24</t>
        </is>
      </c>
      <c r="B121" s="156" t="inlineStr">
        <is>
          <t>https://www.ars24.com/en/match-up1fx</t>
        </is>
      </c>
      <c r="C121" s="15" t="inlineStr">
        <is>
          <t>€299, ready for dispatch 1–2 days; shipping restriction DE/AT/FR.</t>
        </is>
      </c>
    </row>
    <row r="122">
      <c r="A122" s="15" t="inlineStr">
        <is>
          <t>HELIX M ONE official</t>
        </is>
      </c>
      <c r="B122" s="156" t="inlineStr">
        <is>
          <t>https://www.audiotec-fischer.de/en/helix/amplifiers/m-one</t>
        </is>
      </c>
      <c r="C122" s="15" t="inlineStr">
        <is>
          <t>10.5–16 V; 240/410/600 W @4/2/1 Ω; 1 Ω stable.</t>
        </is>
      </c>
    </row>
    <row r="123">
      <c r="A123" s="15" t="inlineStr">
        <is>
          <t>HELIX M ONE X official</t>
        </is>
      </c>
      <c r="B123" s="156" t="inlineStr">
        <is>
          <t>https://www.audiotec-fischer.de/en/helix/amplifiers/m-one-x</t>
        </is>
      </c>
      <c r="C123" s="15" t="inlineStr">
        <is>
          <t>10.5–16 V; 400/700/1030 W @4/2/1 Ω; 1 Ω stable; DC 12 V 106 A max rating.</t>
        </is>
      </c>
    </row>
    <row r="124">
      <c r="A124" s="15" t="inlineStr">
        <is>
          <t>HELIX M ONE X Bünde</t>
        </is>
      </c>
      <c r="B124" s="156" t="inlineStr">
        <is>
          <t>https://www.carhifi-store-buende.de/helix-m-one-x</t>
        </is>
      </c>
      <c r="C124" s="15" t="inlineStr">
        <is>
          <t>€379 current listing; available in 4 days at check time.</t>
        </is>
      </c>
    </row>
    <row r="125">
      <c r="A125" s="15" t="inlineStr">
        <is>
          <t>Pioneer TS-WX1220AH impedance — Europe</t>
        </is>
      </c>
      <c r="B125" s="156" t="inlineStr">
        <is>
          <t>https://pioneer-car.eu/ts-wx1220ah/ts-wx1220ah</t>
        </is>
      </c>
      <c r="C125" s="15" t="inlineStr">
        <is>
          <t>Official European product page: active dual 30 cm donor system; product family source. Install manual separately provides amplifier power/supply.</t>
        </is>
      </c>
    </row>
    <row r="126">
      <c r="A126" s="15" t="inlineStr">
        <is>
          <t>Pioneer TS-WX1220AH impedance — Pioneer MEA</t>
        </is>
      </c>
      <c r="B126" s="156" t="inlineStr">
        <is>
          <t>https://pioneer-mea.com/en/products/ts-wx1220ah/</t>
        </is>
      </c>
      <c r="C126" s="15" t="inlineStr">
        <is>
          <t>Official Pioneer regional specification states impedance Single 0.6 Ω ×2. Compare with European/retail 0.3 Ω complete-system listing; verify loose drivers physically.</t>
        </is>
      </c>
    </row>
    <row r="127">
      <c r="A127" s="15" t="inlineStr">
        <is>
          <t>JSZip generateAsync official docs</t>
        </is>
      </c>
      <c r="B127" s="156" t="inlineStr">
        <is>
          <t>https://stuk.github.io/jszip/documentation/api_jszip/generate_async.html</t>
        </is>
      </c>
      <c r="C127" s="15" t="inlineStr">
        <is>
          <t>STORE is the default no-compression method; streamFiles defaults false; Uint8Array is supported browser output.</t>
        </is>
      </c>
    </row>
    <row r="128">
      <c r="A128" s="15" t="inlineStr">
        <is>
          <t>JSZip limitations / performance</t>
        </is>
      </c>
      <c r="B128" s="156" t="inlineStr">
        <is>
          <t>https://stuk.github.io/jszip/documentation/limitations.html</t>
        </is>
      </c>
      <c r="C128" s="15" t="inlineStr">
        <is>
          <t>JSZip keeps generated output in memory; typed-array output is recommended for browser performance.</t>
        </is>
      </c>
    </row>
    <row r="129">
      <c r="A129" s="15" t="inlineStr">
        <is>
          <t>Tesla SOP9 collector capture 2026-09-10</t>
        </is>
      </c>
      <c r="B129" s="156" t="inlineStr">
        <is>
          <t>https://service.tesla.com/docs/Model3/ElectricalReference/prog-333/</t>
        </is>
      </c>
      <c r="C129" s="15" t="inlineStr">
        <is>
          <t>Collector v1.1.6; 241 packaged assets SHA-256 verified; 14 HTTP 403/missing attempts recorded as required=false.</t>
        </is>
      </c>
    </row>
  </sheetData>
  <mergeCells count="2">
    <mergeCell ref="A2:H2"/>
    <mergeCell ref="A1:H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 xmlns:r="http://schemas.openxmlformats.org/officeDocument/2006/relationships" ref="B30" r:id="rId25"/>
    <hyperlink xmlns:r="http://schemas.openxmlformats.org/officeDocument/2006/relationships" ref="B31" r:id="rId26"/>
    <hyperlink xmlns:r="http://schemas.openxmlformats.org/officeDocument/2006/relationships" ref="B32" r:id="rId27"/>
    <hyperlink xmlns:r="http://schemas.openxmlformats.org/officeDocument/2006/relationships" ref="B33" r:id="rId28"/>
    <hyperlink xmlns:r="http://schemas.openxmlformats.org/officeDocument/2006/relationships" ref="B34" r:id="rId29"/>
    <hyperlink xmlns:r="http://schemas.openxmlformats.org/officeDocument/2006/relationships" ref="B35" r:id="rId30"/>
    <hyperlink xmlns:r="http://schemas.openxmlformats.org/officeDocument/2006/relationships" ref="B36" r:id="rId31"/>
    <hyperlink xmlns:r="http://schemas.openxmlformats.org/officeDocument/2006/relationships" ref="B37" r:id="rId32"/>
    <hyperlink xmlns:r="http://schemas.openxmlformats.org/officeDocument/2006/relationships" ref="B38" r:id="rId33"/>
    <hyperlink xmlns:r="http://schemas.openxmlformats.org/officeDocument/2006/relationships" ref="B39" r:id="rId34"/>
    <hyperlink xmlns:r="http://schemas.openxmlformats.org/officeDocument/2006/relationships" ref="B40" r:id="rId35"/>
  </hyperlinks>
  <pageMargins left="0.75" right="0.75" top="1" bottom="1" header="0.5" footer="0.5"/>
</worksheet>
</file>

<file path=xl/worksheets/sheet22.xml><?xml version="1.0" encoding="utf-8"?>
<worksheet xmlns="http://schemas.openxmlformats.org/spreadsheetml/2006/main">
  <sheetPr>
    <outlinePr summaryBelow="1" summaryRight="1"/>
    <pageSetUpPr fitToPage="1"/>
  </sheetPr>
  <dimension ref="A1:J16"/>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24" customWidth="1" min="8" max="8"/>
    <col width="28" customWidth="1" min="9" max="9"/>
    <col width="48" customWidth="1" min="10" max="10"/>
  </cols>
  <sheetData>
    <row r="1" ht="26" customHeight="1">
      <c r="A1" s="50" t="inlineStr">
        <is>
          <t>MBCaraudio-first configurator – SOP9 15-speaker upgrade</t>
        </is>
      </c>
    </row>
    <row r="2" ht="42" customHeight="1">
      <c r="A2" s="51" t="inlineStr">
        <is>
          <t>Doel: zoveel mogelijk bij MBCaraudio inkopen. Prijzen gecontroleerd op 2026-09-01. De 2 bestaande subwoofers + Pioneer mono-versterker zijn uitgesloten. Focal T3Y dekt 11 van 15 fysieke cabin-speakers; 4 SOP9-posities moeten door MBCaraudio schriftelijk worden gespecificeerd/bevestigd.</t>
        </is>
      </c>
    </row>
    <row r="4" ht="30" customHeight="1">
      <c r="A4" s="14" t="inlineStr">
        <is>
          <t>Budget / scenario</t>
        </is>
      </c>
      <c r="B4" s="14" t="inlineStr">
        <is>
          <t>Waarde</t>
        </is>
      </c>
      <c r="C4" s="14" t="n"/>
      <c r="D4" s="14" t="inlineStr">
        <is>
          <t>MBC retailcomponent</t>
        </is>
      </c>
      <c r="E4" s="14" t="inlineStr">
        <is>
          <t>Prijs</t>
        </is>
      </c>
      <c r="F4" s="14" t="inlineStr">
        <is>
          <t>Status</t>
        </is>
      </c>
      <c r="G4" s="14" t="n"/>
      <c r="H4" s="14" t="inlineStr">
        <is>
          <t>Conclusie</t>
        </is>
      </c>
      <c r="I4" s="14" t="inlineStr">
        <is>
          <t>Waarde</t>
        </is>
      </c>
      <c r="J4" s="14" t="inlineStr">
        <is>
          <t>Toelichting</t>
        </is>
      </c>
    </row>
    <row r="5">
      <c r="A5" s="41" t="inlineStr">
        <is>
          <t>Budget minimum</t>
        </is>
      </c>
      <c r="B5" s="29" t="n">
        <v>3000</v>
      </c>
      <c r="D5" s="15" t="inlineStr">
        <is>
          <t>Focal T3Y core (11 fysieke speakers)</t>
        </is>
      </c>
      <c r="E5" s="52" t="n">
        <v>1645</v>
      </c>
      <c r="F5" s="15" t="inlineStr">
        <is>
          <t>Highland expliciet ondersteund door MBC/Focal</t>
        </is>
      </c>
      <c r="H5" s="15" t="inlineStr">
        <is>
          <t>Bekende MBC hardware (zonder 4 ontbrekende + kabels)</t>
        </is>
      </c>
      <c r="I5" s="29">
        <f>SUM(E5:E8)</f>
        <v/>
      </c>
      <c r="J5" s="15" t="inlineStr">
        <is>
          <t>Dit is géén volledige 15-speakerprijs.</t>
        </is>
      </c>
    </row>
    <row r="6">
      <c r="A6" s="41" t="inlineStr">
        <is>
          <t>Budget maximum</t>
        </is>
      </c>
      <c r="B6" s="29" t="n">
        <v>3500</v>
      </c>
      <c r="D6" s="15" t="inlineStr">
        <is>
          <t>Audison AF M12.14 bit</t>
        </is>
      </c>
      <c r="E6" s="52" t="n">
        <v>1349</v>
      </c>
      <c r="F6" s="15" t="inlineStr">
        <is>
          <t>12×60 W RMS @4Ω / 14ch DSP</t>
        </is>
      </c>
      <c r="H6" s="15" t="inlineStr">
        <is>
          <t>Bekend + kabelreserve</t>
        </is>
      </c>
      <c r="I6" s="29">
        <f>I5+$B$7</f>
        <v/>
      </c>
      <c r="J6" s="15" t="inlineStr">
        <is>
          <t>Nog steeds zonder 4 ontbrekende cabin-speakers.</t>
        </is>
      </c>
    </row>
    <row r="7">
      <c r="A7" s="41" t="inlineStr">
        <is>
          <t>Reserve bekabeling/zekering/OFC</t>
        </is>
      </c>
      <c r="B7" s="53" t="n">
        <v>200</v>
      </c>
      <c r="D7" s="15" t="inlineStr">
        <is>
          <t>Audison DRC MP CAN OLED</t>
        </is>
      </c>
      <c r="E7" s="52" t="n">
        <v>179</v>
      </c>
      <c r="F7" s="15" t="inlineStr">
        <is>
          <t>Display + master/sub/presets</t>
        </is>
      </c>
      <c r="H7" s="15" t="inlineStr">
        <is>
          <t>Planning full-15 incl. €400 allowance</t>
        </is>
      </c>
      <c r="I7" s="29">
        <f>I6+$B$8</f>
        <v/>
      </c>
      <c r="J7" s="15" t="inlineStr">
        <is>
          <t>Indicatie tot MBC exacte 4 resterende speakers quoteert.</t>
        </is>
      </c>
    </row>
    <row r="8">
      <c r="A8" s="41" t="inlineStr">
        <is>
          <t>Planning allowance 4 ontbrekende speakers</t>
        </is>
      </c>
      <c r="B8" s="53" t="n">
        <v>400</v>
      </c>
      <c r="D8" s="15" t="inlineStr">
        <is>
          <t>MATCH PP-TES-1.7B RYZEN</t>
        </is>
      </c>
      <c r="E8" s="52" t="n">
        <v>129</v>
      </c>
      <c r="F8" s="15" t="inlineStr">
        <is>
          <t>Als Tesla-side interposer; Audison-zijde custom</t>
        </is>
      </c>
      <c r="H8" s="15" t="inlineStr">
        <is>
          <t>Planning na pakketkorting</t>
        </is>
      </c>
      <c r="I8" s="29">
        <f>I7*(1-$B$9)</f>
        <v/>
      </c>
      <c r="J8" s="15" t="inlineStr">
        <is>
          <t>Pakketkorting wordt op gehele planningssom toegepast.</t>
        </is>
      </c>
    </row>
    <row r="9">
      <c r="A9" s="41" t="inlineStr">
        <is>
          <t>Pakketkorting offerte</t>
        </is>
      </c>
      <c r="B9" s="54" t="n">
        <v>0</v>
      </c>
      <c r="H9" s="15" t="inlineStr">
        <is>
          <t>Ruimte t.o.v. budget max</t>
        </is>
      </c>
      <c r="I9" s="29">
        <f>B6-I8</f>
        <v/>
      </c>
      <c r="J9" s="15" t="inlineStr">
        <is>
          <t>Positief = binnen budget; negatief = overschrijding.</t>
        </is>
      </c>
    </row>
    <row r="10">
      <c r="A10" s="41" t="inlineStr">
        <is>
          <t>Offerteprijs MBC (later invullen)</t>
        </is>
      </c>
      <c r="B10" s="53" t="n"/>
      <c r="H10" s="15" t="inlineStr">
        <is>
          <t>Benodigde korting om €3.500 te halen</t>
        </is>
      </c>
      <c r="I10" s="55">
        <f>MAX(0,1-($B$6/I7))</f>
        <v/>
      </c>
      <c r="J10" s="15" t="inlineStr">
        <is>
          <t>Alleen planningswaarde; echte korting hangt van offerte af.</t>
        </is>
      </c>
    </row>
    <row r="12">
      <c r="A12" s="62" t="inlineStr">
        <is>
          <t>Kernadvies</t>
        </is>
      </c>
      <c r="B12" s="56" t="n"/>
      <c r="C12" s="56" t="n"/>
      <c r="D12" s="56" t="n"/>
      <c r="E12" s="56" t="n"/>
      <c r="F12" s="56" t="n"/>
      <c r="G12" s="56" t="n"/>
      <c r="H12" s="56" t="n"/>
      <c r="I12" s="56" t="n"/>
      <c r="J12" s="56" t="n"/>
    </row>
    <row r="13">
      <c r="A13" s="19" t="inlineStr">
        <is>
          <t>Focal + Audison Forza is de sterkste MBC-first route die nu aantoonbaar Highland-compatibel is voor de primaire 11 speakerposities. Laat MBCaraudio vóór bestellen per VIN/SOP9 schriftelijk bevestigen welke 4 extra cabin-speakers, adapters en bedrading nodig zijn om werkelijk alle 15 posities te vervangen. Audison AP TSL 3Y SPK KIT is als vergelijkingsoptie opgenomen maar is door Audison zelf expliciet uitgesloten voor 2024+ Highland.</t>
        </is>
      </c>
    </row>
    <row r="14"/>
    <row r="15">
      <c r="A15" s="62" t="inlineStr">
        <is>
          <t>MBC candidate update</t>
        </is>
      </c>
      <c r="B15" s="56" t="n"/>
      <c r="C15" s="56" t="n"/>
      <c r="D15" s="56" t="n"/>
      <c r="E15" s="56" t="n"/>
      <c r="F15" s="56" t="n"/>
      <c r="G15" s="56" t="n"/>
      <c r="H15" s="56" t="n"/>
      <c r="I15" s="56" t="n"/>
      <c r="J15" s="56" t="n"/>
    </row>
    <row r="16" ht="55" customHeight="1">
      <c r="A16" s="37" t="inlineStr">
        <is>
          <t>Als MBC de budgetkandidaat GLADEN GAMMA GM80 + Audison AP 2 MV technisch geschikt verklaart, daalt de vier-speaker reserve van €400 naar €288. Full-system retailplanning wordt dan circa €3.790 incl. €200 installatiemateriaal; circa 7,7% pakketvoordeel is dan voldoende om €3.500 te halen.</t>
        </is>
      </c>
    </row>
  </sheetData>
  <mergeCells count="6">
    <mergeCell ref="A1:J1"/>
    <mergeCell ref="A16:J16"/>
    <mergeCell ref="A13:J14"/>
    <mergeCell ref="A15:J15"/>
    <mergeCell ref="A12:J12"/>
    <mergeCell ref="A2:J2"/>
  </mergeCells>
  <pageMargins left="0.25" right="0.25" top="0.5" bottom="0.5" header="0.5" footer="0.5"/>
  <pageSetup fitToHeight="0" fitToWidth="1"/>
</worksheet>
</file>

<file path=xl/worksheets/sheet23.xml><?xml version="1.0" encoding="utf-8"?>
<worksheet xmlns="http://schemas.openxmlformats.org/spreadsheetml/2006/main">
  <sheetPr>
    <outlinePr summaryBelow="1" summaryRight="1"/>
    <pageSetUpPr fitToPage="1"/>
  </sheetPr>
  <dimension ref="A1:P16"/>
  <sheetViews>
    <sheetView showGridLines="0" workbookViewId="0">
      <pane ySplit="3" topLeftCell="A4" activePane="bottomLeft" state="frozen"/>
      <selection pane="bottomLeft" activeCell="A1" sqref="A1"/>
    </sheetView>
  </sheetViews>
  <sheetFormatPr baseColWidth="8" defaultRowHeight="15"/>
  <cols>
    <col width="28" customWidth="1" min="1" max="1"/>
    <col width="24" customWidth="1" min="2" max="2"/>
    <col width="8" customWidth="1" min="3" max="3"/>
    <col width="14" customWidth="1" min="4" max="4"/>
    <col width="14" customWidth="1" min="5" max="5"/>
    <col width="14" customWidth="1" min="6" max="6"/>
    <col width="12" customWidth="1" min="7" max="7"/>
    <col width="15" customWidth="1" min="8" max="8"/>
    <col width="15" customWidth="1" min="9" max="9"/>
    <col width="17" customWidth="1" min="10" max="10"/>
    <col width="15" customWidth="1" min="11" max="11"/>
    <col width="26" customWidth="1" min="12" max="12"/>
    <col width="42" customWidth="1" min="13" max="13"/>
    <col width="65" customWidth="1" min="14" max="14"/>
    <col width="20" customWidth="1" min="15" max="15"/>
    <col width="34" customWidth="1" min="16" max="16"/>
  </cols>
  <sheetData>
    <row r="1" ht="26" customHeight="1">
      <c r="A1" s="50" t="inlineStr">
        <is>
          <t>MBCaraudio – Focal T3Y Highland speakeroptie</t>
        </is>
      </c>
    </row>
    <row r="2" ht="42" customHeight="1">
      <c r="A2" s="51" t="inlineStr">
        <is>
          <t>Alle vier Focal T3Y-productfamilies die MBCaraudio op de Model 3 Facelift 2023+ pagina toont. Aantallen zijn fysieke speakers/transducers die in de Highland worden gemonteerd; ICC T3Y 100 wordt bij Highland volgens MBC zonder de meegeleverde tweeter gebruikt.</t>
        </is>
      </c>
    </row>
    <row r="4" ht="30" customHeight="1">
      <c r="A4" s="14" t="inlineStr">
        <is>
          <t>Positie</t>
        </is>
      </c>
      <c r="B4" s="14" t="inlineStr">
        <is>
          <t>Product</t>
        </is>
      </c>
      <c r="C4" s="14" t="inlineStr">
        <is>
          <t>Sets</t>
        </is>
      </c>
      <c r="D4" s="14" t="inlineStr">
        <is>
          <t>Fysieke speakers</t>
        </is>
      </c>
      <c r="E4" s="14" t="inlineStr">
        <is>
          <t>RMS W / speaker</t>
        </is>
      </c>
      <c r="F4" s="14" t="inlineStr">
        <is>
          <t>MAX W / speaker</t>
        </is>
      </c>
      <c r="G4" s="14" t="inlineStr">
        <is>
          <t>Impedantie Ω</t>
        </is>
      </c>
      <c r="H4" s="14" t="inlineStr">
        <is>
          <t>MBC prijs/set</t>
        </is>
      </c>
      <c r="I4" s="14" t="inlineStr">
        <is>
          <t>Subtotaal</t>
        </is>
      </c>
      <c r="J4" s="14" t="inlineStr">
        <is>
          <t>AF M12.14 @4Ω</t>
        </is>
      </c>
      <c r="K4" s="14" t="inlineStr">
        <is>
          <t>Amp/Speaker RMS</t>
        </is>
      </c>
      <c r="L4" s="14" t="inlineStr">
        <is>
          <t>Match</t>
        </is>
      </c>
      <c r="M4" s="14" t="inlineStr">
        <is>
          <t>Highland/SOP9 status</t>
        </is>
      </c>
      <c r="N4" s="14" t="inlineStr">
        <is>
          <t>Bron URL</t>
        </is>
      </c>
      <c r="O4" s="63" t="inlineStr">
        <is>
          <t>US review signal</t>
        </is>
      </c>
      <c r="P4" s="63" t="inlineStr">
        <is>
          <t>US review/source</t>
        </is>
      </c>
    </row>
    <row r="5">
      <c r="A5" s="15" t="inlineStr">
        <is>
          <t>Front doors – midbass/woofer L+R</t>
        </is>
      </c>
      <c r="B5" s="15" t="inlineStr">
        <is>
          <t>Focal IW T3Y 200</t>
        </is>
      </c>
      <c r="C5" s="15" t="n">
        <v>1</v>
      </c>
      <c r="D5" s="15" t="n">
        <v>2</v>
      </c>
      <c r="E5" s="15" t="n">
        <v>75</v>
      </c>
      <c r="F5" s="15" t="n">
        <v>150</v>
      </c>
      <c r="G5" s="15" t="n">
        <v>4</v>
      </c>
      <c r="H5" s="52" t="n">
        <v>459</v>
      </c>
      <c r="I5" s="29">
        <f>C5*H5</f>
        <v/>
      </c>
      <c r="J5" s="15" t="n">
        <v>60</v>
      </c>
      <c r="K5" s="55">
        <f>IF(E5&gt;0,J5/E5,"")</f>
        <v/>
      </c>
      <c r="L5" s="15">
        <f>IF(K5="","n/a",IF(K5&lt;0.75,"Amp beperkt speakervermogen",IF(K5&lt;=1.25,"Goede RMS-match",IF(K5&lt;=1.75,"Meer amp-headroom – limiter/gain", "Veel amp-headroom – limiter vereist"))))</f>
        <v/>
      </c>
      <c r="M5" s="15" t="inlineStr">
        <is>
          <t>Expliciet MBC Highland LR/Performance vanaf 2023</t>
        </is>
      </c>
      <c r="N5" s="49" t="inlineStr">
        <is>
          <t>https://mbcaraudio.nl/autospecifieke-pasklare-speakersets/focal-iw-t3y-200.html</t>
        </is>
      </c>
      <c r="O5" s="15" t="inlineStr">
        <is>
          <t>5/5 (3 reviews)</t>
        </is>
      </c>
      <c r="P5" s="15" t="inlineStr">
        <is>
          <t>Crutchfield – limited sample; $1,049.99</t>
        </is>
      </c>
    </row>
    <row r="6">
      <c r="A6" s="15" t="inlineStr">
        <is>
          <t>Front stage – mids L+R + tweeters L+R</t>
        </is>
      </c>
      <c r="B6" s="15" t="inlineStr">
        <is>
          <t>Focal IS T3Y 100</t>
        </is>
      </c>
      <c r="C6" s="15" t="n">
        <v>1</v>
      </c>
      <c r="D6" s="15" t="n">
        <v>4</v>
      </c>
      <c r="E6" s="15" t="n">
        <v>50</v>
      </c>
      <c r="F6" s="15" t="n">
        <v>100</v>
      </c>
      <c r="G6" s="15" t="n">
        <v>4</v>
      </c>
      <c r="H6" s="52" t="n">
        <v>369</v>
      </c>
      <c r="I6" s="29">
        <f>C6*H6</f>
        <v/>
      </c>
      <c r="J6" s="15" t="n">
        <v>60</v>
      </c>
      <c r="K6" s="55">
        <f>IF(E6&gt;0,J6/E6,"")</f>
        <v/>
      </c>
      <c r="L6" s="15">
        <f>IF(K6="","n/a",IF(K6&lt;0.75,"Amp beperkt speakervermogen",IF(K6&lt;=1.25,"Goede RMS-match",IF(K6&lt;=1.75,"Meer amp-headroom – limiter/gain", "Veel amp-headroom – limiter vereist"))))</f>
        <v/>
      </c>
      <c r="M6" s="15" t="inlineStr">
        <is>
          <t>Expliciet MBC Highland LR/Performance vanaf 2023</t>
        </is>
      </c>
      <c r="N6" s="49" t="inlineStr">
        <is>
          <t>https://mbcaraudio.nl/autospecifieke-pasklare-speakersets/focal-is-t3y-100.html</t>
        </is>
      </c>
      <c r="O6" s="15" t="inlineStr">
        <is>
          <t>5/5 (2 reviews)</t>
        </is>
      </c>
      <c r="P6" s="15" t="inlineStr">
        <is>
          <t>Crutchfield – limited sample; $719.99</t>
        </is>
      </c>
    </row>
    <row r="7">
      <c r="A7" s="15" t="inlineStr">
        <is>
          <t>Dashboard center</t>
        </is>
      </c>
      <c r="B7" s="15" t="inlineStr">
        <is>
          <t>Focal ICC T3Y 100</t>
        </is>
      </c>
      <c r="C7" s="15" t="n">
        <v>1</v>
      </c>
      <c r="D7" s="15" t="n">
        <v>1</v>
      </c>
      <c r="E7" s="15" t="n">
        <v>50</v>
      </c>
      <c r="F7" s="15" t="n">
        <v>100</v>
      </c>
      <c r="G7" s="15" t="n">
        <v>4</v>
      </c>
      <c r="H7" s="52" t="n">
        <v>179</v>
      </c>
      <c r="I7" s="29">
        <f>C7*H7</f>
        <v/>
      </c>
      <c r="J7" s="15" t="n">
        <v>60</v>
      </c>
      <c r="K7" s="55">
        <f>IF(E7&gt;0,J7/E7,"")</f>
        <v/>
      </c>
      <c r="L7" s="15">
        <f>IF(K7="","n/a",IF(K7&lt;0.75,"Amp beperkt speakervermogen",IF(K7&lt;=1.25,"Goede RMS-match",IF(K7&lt;=1.75,"Meer amp-headroom – limiter/gain", "Veel amp-headroom – limiter vereist"))))</f>
        <v/>
      </c>
      <c r="M7" s="15" t="inlineStr">
        <is>
          <t>Highland: volgens MBC alleen center gebruiken, zonder meegeleverde tweeter</t>
        </is>
      </c>
      <c r="N7" s="49" t="inlineStr">
        <is>
          <t>https://mbcaraudio.nl/autospecifieke-pasklare-speakersets/focal-icc-t3y-100.html</t>
        </is>
      </c>
      <c r="O7" s="15" t="inlineStr">
        <is>
          <t>3/5 (1 review)</t>
        </is>
      </c>
      <c r="P7" s="15" t="inlineStr">
        <is>
          <t>Crutchfield – single review; $369.99</t>
        </is>
      </c>
    </row>
    <row r="8">
      <c r="A8" s="15" t="inlineStr">
        <is>
          <t>Rear doors L+R</t>
        </is>
      </c>
      <c r="B8" s="15" t="inlineStr">
        <is>
          <t>Focal IC T3Y 100</t>
        </is>
      </c>
      <c r="C8" s="15" t="n">
        <v>1</v>
      </c>
      <c r="D8" s="15" t="n">
        <v>2</v>
      </c>
      <c r="E8" s="15" t="n">
        <v>40</v>
      </c>
      <c r="F8" s="15" t="n">
        <v>80</v>
      </c>
      <c r="G8" s="15" t="n">
        <v>4</v>
      </c>
      <c r="H8" s="52" t="n">
        <v>319</v>
      </c>
      <c r="I8" s="29">
        <f>C8*H8</f>
        <v/>
      </c>
      <c r="J8" s="15" t="n">
        <v>60</v>
      </c>
      <c r="K8" s="55">
        <f>IF(E8&gt;0,J8/E8,"")</f>
        <v/>
      </c>
      <c r="L8" s="15">
        <f>IF(K8="","n/a",IF(K8&lt;0.75,"Amp beperkt speakervermogen",IF(K8&lt;=1.25,"Goede RMS-match",IF(K8&lt;=1.75,"Meer amp-headroom – limiter/gain", "Veel amp-headroom – limiter vereist"))))</f>
        <v/>
      </c>
      <c r="M8" s="15" t="inlineStr">
        <is>
          <t>Expliciet MBC Highland LR/Performance rear doors</t>
        </is>
      </c>
      <c r="N8" s="49" t="inlineStr">
        <is>
          <t>https://mbcaraudio.nl/autospecifieke-pasklare-speakersets/focal-ic-t3y-100.html</t>
        </is>
      </c>
      <c r="O8" s="15" t="inlineStr">
        <is>
          <t>No reviews</t>
        </is>
      </c>
      <c r="P8" s="15" t="inlineStr">
        <is>
          <t>Crutchfield $629.99/pair</t>
        </is>
      </c>
    </row>
    <row r="9">
      <c r="A9" s="15" t="inlineStr">
        <is>
          <t>Parcel shelf L+R</t>
        </is>
      </c>
      <c r="B9" s="15" t="inlineStr">
        <is>
          <t>Focal IC T3Y 100</t>
        </is>
      </c>
      <c r="C9" s="15" t="n">
        <v>1</v>
      </c>
      <c r="D9" s="15" t="n">
        <v>2</v>
      </c>
      <c r="E9" s="15" t="n">
        <v>40</v>
      </c>
      <c r="F9" s="15" t="n">
        <v>80</v>
      </c>
      <c r="G9" s="15" t="n">
        <v>4</v>
      </c>
      <c r="H9" s="52" t="n">
        <v>319</v>
      </c>
      <c r="I9" s="29">
        <f>C9*H9</f>
        <v/>
      </c>
      <c r="J9" s="15" t="n">
        <v>60</v>
      </c>
      <c r="K9" s="55">
        <f>IF(E9&gt;0,J9/E9,"")</f>
        <v/>
      </c>
      <c r="L9" s="15">
        <f>IF(K9="","n/a",IF(K9&lt;0.75,"Amp beperkt speakervermogen",IF(K9&lt;=1.25,"Goede RMS-match",IF(K9&lt;=1.75,"Meer amp-headroom – limiter/gain", "Veel amp-headroom – limiter vereist"))))</f>
        <v/>
      </c>
      <c r="M9" s="15" t="inlineStr">
        <is>
          <t>Expliciet MBC Highland LR/Performance parcel shelf; extra bekabeling mogelijk</t>
        </is>
      </c>
      <c r="N9" s="49" t="inlineStr">
        <is>
          <t>https://mbcaraudio.nl/autospecifieke-pasklare-speakersets/focal-ic-t3y-100.html</t>
        </is>
      </c>
      <c r="O9" s="15" t="inlineStr">
        <is>
          <t>No reviews</t>
        </is>
      </c>
      <c r="P9" s="15" t="inlineStr">
        <is>
          <t>Crutchfield $629.99/pair</t>
        </is>
      </c>
    </row>
    <row r="11" ht="58" customHeight="1">
      <c r="A11" s="57" t="inlineStr">
        <is>
          <t>SOP9 completion gap</t>
        </is>
      </c>
      <c r="B11" s="57" t="n"/>
      <c r="C11" s="57" t="n"/>
      <c r="D11" s="57">
        <f>15-SUM(D5:D9)</f>
        <v/>
      </c>
      <c r="E11" s="64" t="inlineStr">
        <is>
          <t>TBD door MBCaraudio – waarschijnlijk resterende Premium/immersive-posities; exacte locatie, maat, impedantie en aansluiting eerst bevestigen.</t>
        </is>
      </c>
      <c r="F11" s="56" t="n"/>
      <c r="G11" s="56" t="n"/>
      <c r="H11" s="56" t="n"/>
      <c r="I11" s="56" t="n"/>
      <c r="J11" s="56" t="n"/>
      <c r="K11" s="56" t="n"/>
      <c r="L11" s="56" t="n"/>
      <c r="M11" s="57" t="inlineStr">
        <is>
          <t>4 fysieke cabin-speakers zijn nog niet door Focal T3Y op de MBC Highland-pagina afgedekt. Laat MBC per VIN/SOP9 passende producten + adapters schriftelijk bevestigen. Geen universele Focal-driver zonder maat/connectorcontrole bestellen.</t>
        </is>
      </c>
      <c r="N11" s="57" t="n"/>
    </row>
    <row r="13">
      <c r="A13" s="59" t="inlineStr">
        <is>
          <t>Focal T3Y retailtotaal MBC</t>
        </is>
      </c>
      <c r="B13" s="15" t="n"/>
      <c r="C13" s="15" t="n"/>
      <c r="D13" s="15">
        <f>SUM(D5:D9)</f>
        <v/>
      </c>
      <c r="E13" s="15" t="n"/>
      <c r="F13" s="15" t="n"/>
      <c r="G13" s="15" t="n"/>
      <c r="H13" s="15" t="n"/>
      <c r="I13" s="60">
        <f>SUM(I5:I9)</f>
        <v/>
      </c>
      <c r="J13" s="15" t="n"/>
      <c r="K13" s="15" t="n"/>
      <c r="L13" s="15" t="n"/>
      <c r="M13" s="15" t="n"/>
      <c r="N13" s="15" t="n"/>
    </row>
    <row r="15">
      <c r="A15" s="179" t="inlineStr">
        <is>
          <t>v2.1 NOTE</t>
        </is>
      </c>
    </row>
    <row r="16">
      <c r="A16" s="42" t="inlineStr">
        <is>
          <t>Historical/comparison content retained. Current received MB proposal is authoritative in MB_Quote_2026-09-10 / MBC_Shopping_List and MB_Channel_Map_v2.1.</t>
        </is>
      </c>
    </row>
  </sheetData>
  <mergeCells count="3">
    <mergeCell ref="A1:P1"/>
    <mergeCell ref="E11:L11"/>
    <mergeCell ref="A2:P2"/>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s>
  <pageMargins left="0.25" right="0.25" top="0.5" bottom="0.5" header="0.5" footer="0.5"/>
  <pageSetup fitToHeight="0" fitToWidth="1"/>
</worksheet>
</file>

<file path=xl/worksheets/sheet24.xml><?xml version="1.0" encoding="utf-8"?>
<worksheet xmlns="http://schemas.openxmlformats.org/spreadsheetml/2006/main">
  <sheetPr>
    <outlinePr summaryBelow="1" summaryRight="1"/>
    <pageSetUpPr fitToPage="1"/>
  </sheetPr>
  <dimension ref="A1:N13"/>
  <sheetViews>
    <sheetView showGridLines="0" workbookViewId="0">
      <pane ySplit="3" topLeftCell="A4" activePane="bottomLeft" state="frozen"/>
      <selection pane="bottomLeft" activeCell="A1" sqref="A1"/>
    </sheetView>
  </sheetViews>
  <sheetFormatPr baseColWidth="8" defaultRowHeight="15"/>
  <cols>
    <col width="27" customWidth="1" min="1" max="1"/>
    <col width="24" customWidth="1" min="2" max="2"/>
    <col width="9" customWidth="1" min="3" max="3"/>
    <col width="14" customWidth="1" min="4" max="4"/>
    <col width="14" customWidth="1" min="5" max="5"/>
    <col width="12" customWidth="1" min="6" max="6"/>
    <col width="14" customWidth="1" min="7" max="7"/>
    <col width="18" customWidth="1" min="8" max="8"/>
    <col width="15" customWidth="1" min="9" max="9"/>
    <col width="28" customWidth="1" min="10" max="10"/>
    <col width="27" customWidth="1" min="11" max="11"/>
    <col width="47" customWidth="1" min="12" max="12"/>
    <col width="65" customWidth="1" min="13" max="13"/>
    <col width="18" customWidth="1" min="14" max="14"/>
  </cols>
  <sheetData>
    <row r="1" ht="26" customHeight="1">
      <c r="A1" s="50" t="inlineStr">
        <is>
          <t>MBCaraudio – Audison Tesla speaker upgrade (vergelijking)</t>
        </is>
      </c>
    </row>
    <row r="2" ht="42" customHeight="1">
      <c r="A2" s="51" t="inlineStr">
        <is>
          <t>MBCaraudio verkoopt de nieuwe Audison AP TSL 3Y speakerkit, maar Audison vermeldt officieel dat de huidige Tesla Sound Packs NIET compatibel zijn met 2024+ Model 3 Highland. Daarom: alleen vergelijken; niet bestellen voor SOP9 zonder schriftelijke bevestiging van een nieuwe/revised Highland-versie.</t>
        </is>
      </c>
    </row>
    <row r="4" ht="30" customHeight="1">
      <c r="A4" s="14" t="inlineStr">
        <is>
          <t>Onderdeel/positie</t>
        </is>
      </c>
      <c r="B4" s="14" t="inlineStr">
        <is>
          <t>Audison component</t>
        </is>
      </c>
      <c r="C4" s="14" t="inlineStr">
        <is>
          <t>Aantal</t>
        </is>
      </c>
      <c r="D4" s="14" t="inlineStr">
        <is>
          <t>RMS W / speaker</t>
        </is>
      </c>
      <c r="E4" s="14" t="inlineStr">
        <is>
          <t>MAX W / speaker</t>
        </is>
      </c>
      <c r="F4" s="14" t="inlineStr">
        <is>
          <t>Impedantie Ω</t>
        </is>
      </c>
      <c r="G4" s="14" t="inlineStr">
        <is>
          <t>MBC kitprijs</t>
        </is>
      </c>
      <c r="H4" s="14" t="inlineStr">
        <is>
          <t>AF M12.14 kanaal RMS</t>
        </is>
      </c>
      <c r="I4" s="14" t="inlineStr">
        <is>
          <t>Amp/Speaker RMS</t>
        </is>
      </c>
      <c r="J4" s="14" t="inlineStr">
        <is>
          <t>Match</t>
        </is>
      </c>
      <c r="K4" s="14" t="inlineStr">
        <is>
          <t>SOP9 status</t>
        </is>
      </c>
      <c r="L4" s="14" t="inlineStr">
        <is>
          <t>Opmerking</t>
        </is>
      </c>
      <c r="M4" s="14" t="inlineStr">
        <is>
          <t>MBC/official source</t>
        </is>
      </c>
      <c r="N4" s="14" t="inlineStr">
        <is>
          <t>Prijsstatus</t>
        </is>
      </c>
    </row>
    <row r="5">
      <c r="A5" s="15" t="inlineStr">
        <is>
          <t>Front tweeters</t>
        </is>
      </c>
      <c r="B5" s="15" t="inlineStr">
        <is>
          <t>AP TSL T1</t>
        </is>
      </c>
      <c r="C5" s="15" t="n">
        <v>2</v>
      </c>
      <c r="D5" s="15" t="n"/>
      <c r="E5" s="15" t="n">
        <v>100</v>
      </c>
      <c r="F5" s="15" t="n">
        <v>4</v>
      </c>
      <c r="G5" s="29" t="n">
        <v>749</v>
      </c>
      <c r="H5" s="15" t="n">
        <v>60</v>
      </c>
      <c r="I5" s="55">
        <f>IF(D5&gt;0,H5/D5,"")</f>
        <v/>
      </c>
      <c r="J5" s="15">
        <f>IF(I5="","n/a",IF(I5&lt;0.75,"Amp beperkt speakervermogen",IF(I5&lt;=1.25,"Goede RMS-match",IF(I5&lt;=1.75,"Meer amp-headroom – limiter/gain","Veel amp-headroom – limiter vereist"))))</f>
        <v/>
      </c>
      <c r="K5" s="61" t="inlineStr">
        <is>
          <t>NIET Highland-compatibel volgens Audison</t>
        </is>
      </c>
      <c r="L5" s="15" t="inlineStr">
        <is>
          <t>RMS niet apart gepubliceerd in geraadpleegde kitdata</t>
        </is>
      </c>
      <c r="M5" s="49" t="inlineStr">
        <is>
          <t>https://audison.com/tesla/</t>
        </is>
      </c>
      <c r="N5" s="15" t="inlineStr">
        <is>
          <t>MBC kit €749</t>
        </is>
      </c>
    </row>
    <row r="6">
      <c r="A6" s="15" t="inlineStr">
        <is>
          <t>Front mids</t>
        </is>
      </c>
      <c r="B6" s="15" t="inlineStr">
        <is>
          <t>AP TSL M4M</t>
        </is>
      </c>
      <c r="C6" s="15" t="n">
        <v>2</v>
      </c>
      <c r="D6" s="15" t="n">
        <v>50</v>
      </c>
      <c r="E6" s="15" t="n">
        <v>100</v>
      </c>
      <c r="F6" s="15" t="n">
        <v>4</v>
      </c>
      <c r="G6" s="29" t="n">
        <v>0</v>
      </c>
      <c r="H6" s="15" t="n">
        <v>60</v>
      </c>
      <c r="I6" s="55">
        <f>IF(D6&gt;0,H6/D6,"")</f>
        <v/>
      </c>
      <c r="J6" s="15">
        <f>IF(I6="","n/a",IF(I6&lt;0.75,"Amp beperkt speakervermogen",IF(I6&lt;=1.25,"Goede RMS-match",IF(I6&lt;=1.75,"Meer amp-headroom – limiter/gain","Veel amp-headroom – limiter vereist"))))</f>
        <v/>
      </c>
      <c r="K6" s="61" t="inlineStr">
        <is>
          <t>NIET Highland-compatibel volgens Audison</t>
        </is>
      </c>
      <c r="L6" s="15" t="inlineStr">
        <is>
          <t>Official speaker spec</t>
        </is>
      </c>
      <c r="M6" s="49" t="inlineStr">
        <is>
          <t>https://audison.com/tesla/</t>
        </is>
      </c>
      <c r="N6" s="15" t="inlineStr">
        <is>
          <t>MBC kit €749</t>
        </is>
      </c>
    </row>
    <row r="7">
      <c r="A7" s="15" t="inlineStr">
        <is>
          <t>Front 200mm woofers</t>
        </is>
      </c>
      <c r="B7" s="15" t="inlineStr">
        <is>
          <t>AP TSL 8</t>
        </is>
      </c>
      <c r="C7" s="15" t="n">
        <v>2</v>
      </c>
      <c r="D7" s="15" t="n">
        <v>100</v>
      </c>
      <c r="E7" s="15" t="n">
        <v>300</v>
      </c>
      <c r="F7" s="15" t="n">
        <v>4</v>
      </c>
      <c r="G7" s="29" t="n">
        <v>0</v>
      </c>
      <c r="H7" s="15" t="n">
        <v>60</v>
      </c>
      <c r="I7" s="55">
        <f>IF(D7&gt;0,H7/D7,"")</f>
        <v/>
      </c>
      <c r="J7" s="15">
        <f>IF(I7="","n/a",IF(I7&lt;0.75,"Amp beperkt speakervermogen",IF(I7&lt;=1.25,"Goede RMS-match",IF(I7&lt;=1.75,"Meer amp-headroom – limiter/gain","Veel amp-headroom – limiter vereist"))))</f>
        <v/>
      </c>
      <c r="K7" s="61" t="inlineStr">
        <is>
          <t>NIET Highland-compatibel volgens Audison</t>
        </is>
      </c>
      <c r="L7" s="15" t="inlineStr">
        <is>
          <t>Official speaker spec</t>
        </is>
      </c>
      <c r="M7" s="49" t="inlineStr">
        <is>
          <t>https://audison.com/tesla/</t>
        </is>
      </c>
      <c r="N7" s="15" t="inlineStr">
        <is>
          <t>MBC kit €749</t>
        </is>
      </c>
    </row>
    <row r="8">
      <c r="A8" s="15" t="inlineStr">
        <is>
          <t>Dashboard center coax</t>
        </is>
      </c>
      <c r="B8" s="15" t="inlineStr">
        <is>
          <t>AP TSL X4M</t>
        </is>
      </c>
      <c r="C8" s="15" t="n">
        <v>1</v>
      </c>
      <c r="D8" s="15" t="n">
        <v>40</v>
      </c>
      <c r="E8" s="15" t="n">
        <v>80</v>
      </c>
      <c r="F8" s="15" t="n">
        <v>4</v>
      </c>
      <c r="G8" s="29" t="n">
        <v>0</v>
      </c>
      <c r="H8" s="15" t="n">
        <v>60</v>
      </c>
      <c r="I8" s="55">
        <f>IF(D8&gt;0,H8/D8,"")</f>
        <v/>
      </c>
      <c r="J8" s="15">
        <f>IF(I8="","n/a",IF(I8&lt;0.75,"Amp beperkt speakervermogen",IF(I8&lt;=1.25,"Goede RMS-match",IF(I8&lt;=1.75,"Meer amp-headroom – limiter/gain","Veel amp-headroom – limiter vereist"))))</f>
        <v/>
      </c>
      <c r="K8" s="61" t="inlineStr">
        <is>
          <t>NIET Highland-compatibel volgens Audison</t>
        </is>
      </c>
      <c r="L8" s="15" t="inlineStr">
        <is>
          <t>Official speaker spec</t>
        </is>
      </c>
      <c r="M8" s="49" t="inlineStr">
        <is>
          <t>https://audison.com/tesla/</t>
        </is>
      </c>
      <c r="N8" s="15" t="inlineStr">
        <is>
          <t>MBC kit €749</t>
        </is>
      </c>
    </row>
    <row r="10">
      <c r="A10" s="15" t="inlineStr">
        <is>
          <t>Kitinhoud</t>
        </is>
      </c>
      <c r="B10" s="15" t="inlineStr">
        <is>
          <t>7 fysieke speakerunits (2 tweeters + 2 mids + 2 woofers + 1 center). Geen 15-speakercomplete set.</t>
        </is>
      </c>
      <c r="C10" s="15" t="n"/>
      <c r="D10" s="15" t="n"/>
      <c r="E10" s="15" t="n"/>
      <c r="F10" s="15" t="n"/>
      <c r="G10" s="15" t="n">
        <v>749</v>
      </c>
      <c r="H10" s="15" t="n"/>
      <c r="I10" s="15" t="n"/>
      <c r="J10" s="15" t="n"/>
      <c r="K10" s="61" t="inlineStr">
        <is>
          <t>NIET KOPEN voor SOP9 zonder schriftelijke Highland-confirmatie</t>
        </is>
      </c>
      <c r="L10" s="15" t="n"/>
      <c r="M10" s="15" t="n"/>
      <c r="N10" s="15" t="n"/>
    </row>
    <row r="12">
      <c r="A12" s="179" t="inlineStr">
        <is>
          <t>v2.1 NOTE</t>
        </is>
      </c>
    </row>
    <row r="13">
      <c r="A13" s="42" t="inlineStr">
        <is>
          <t>Historical/comparison content retained. Current received MB proposal is authoritative in MB_Quote_2026-09-10 / MBC_Shopping_List and MB_Channel_Map_v2.1.</t>
        </is>
      </c>
    </row>
  </sheetData>
  <mergeCells count="2">
    <mergeCell ref="A2:N2"/>
    <mergeCell ref="A1:N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s>
  <pageMargins left="0.25" right="0.25" top="0.5" bottom="0.5" header="0.5" footer="0.5"/>
  <pageSetup fitToHeight="0" fitToWidth="1"/>
</worksheet>
</file>

<file path=xl/worksheets/sheet25.xml><?xml version="1.0" encoding="utf-8"?>
<worksheet xmlns="http://schemas.openxmlformats.org/spreadsheetml/2006/main">
  <sheetPr>
    <outlinePr summaryBelow="1" summaryRight="1"/>
    <pageSetUpPr fitToPage="1"/>
  </sheetPr>
  <dimension ref="A1:N7"/>
  <sheetViews>
    <sheetView showGridLines="0" workbookViewId="0">
      <pane ySplit="3" topLeftCell="A4" activePane="bottomLeft" state="frozen"/>
      <selection pane="bottomLeft" activeCell="A1" sqref="A1"/>
    </sheetView>
  </sheetViews>
  <sheetFormatPr baseColWidth="8" defaultRowHeight="15"/>
  <cols>
    <col width="25" customWidth="1" min="1" max="1"/>
    <col width="14" customWidth="1" min="2" max="2"/>
    <col width="35" customWidth="1" min="3" max="3"/>
    <col width="28" customWidth="1" min="4" max="4"/>
    <col width="20" customWidth="1" min="5" max="5"/>
    <col width="18" customWidth="1" min="6" max="6"/>
    <col width="18" customWidth="1" min="7" max="7"/>
    <col width="22" customWidth="1" min="8" max="8"/>
    <col width="30" customWidth="1" min="9" max="9"/>
    <col width="35" customWidth="1" min="10" max="10"/>
    <col width="62" customWidth="1" min="11" max="11"/>
    <col width="62" customWidth="1" min="12" max="12"/>
    <col width="22" customWidth="1" min="13" max="13"/>
    <col width="44" customWidth="1" min="14" max="14"/>
  </cols>
  <sheetData>
    <row r="1" ht="26" customHeight="1">
      <c r="A1" s="50" t="inlineStr">
        <is>
          <t>MBCaraudio – overige Tesla speakeropties op Facelift 2023+ pagina</t>
        </is>
      </c>
    </row>
    <row r="2" ht="42" customHeight="1">
      <c r="A2" s="51" t="inlineStr">
        <is>
          <t>Deze sets staan door MBCaraudio in de Model 3 Facelift 2023+ categorie, maar fabrikantpagina’s zijn vaak generiek “Model 3/Model Y” en geven geen expliciete SOP9/2026-confirmatie. Daarom alleen shortlist; eerst VIN/SOP9-fitment laten bevestigen.</t>
        </is>
      </c>
    </row>
    <row r="4" ht="30" customHeight="1">
      <c r="A4" s="14" t="inlineStr">
        <is>
          <t>Merk/Set</t>
        </is>
      </c>
      <c r="B4" s="14" t="inlineStr">
        <is>
          <t>MBC prijs</t>
        </is>
      </c>
      <c r="C4" s="14" t="inlineStr">
        <is>
          <t>Inhoud (fysieke speakers, sub niet meegeteld)</t>
        </is>
      </c>
      <c r="D4" s="14" t="inlineStr">
        <is>
          <t>RMS relevante driver(s)</t>
        </is>
      </c>
      <c r="E4" s="14" t="inlineStr">
        <is>
          <t>MAX</t>
        </is>
      </c>
      <c r="F4" s="14" t="inlineStr">
        <is>
          <t>Impedantie</t>
        </is>
      </c>
      <c r="G4" s="14" t="inlineStr">
        <is>
          <t>15-speaker dekking</t>
        </is>
      </c>
      <c r="H4" s="14" t="inlineStr">
        <is>
          <t>SOP9 zekerheid</t>
        </is>
      </c>
      <c r="I4" s="14" t="inlineStr">
        <is>
          <t>Pluspunt</t>
        </is>
      </c>
      <c r="J4" s="14" t="inlineStr">
        <is>
          <t>Minpunt</t>
        </is>
      </c>
      <c r="K4" s="14" t="inlineStr">
        <is>
          <t>MBC URL</t>
        </is>
      </c>
      <c r="L4" s="14" t="inlineStr">
        <is>
          <t>Fabrikant URL</t>
        </is>
      </c>
      <c r="M4" s="14" t="inlineStr">
        <is>
          <t>Advies</t>
        </is>
      </c>
      <c r="N4" s="14" t="inlineStr">
        <is>
          <t>Opmerking</t>
        </is>
      </c>
    </row>
    <row r="5">
      <c r="A5" s="15" t="inlineStr">
        <is>
          <t>DLS Cruise CRPP-TS1.4 + CRPP-TSW.8</t>
        </is>
      </c>
      <c r="B5" s="29" t="n">
        <v>599.9</v>
      </c>
      <c r="C5" s="15" t="inlineStr">
        <is>
          <t>2× 200mm woofer + 2× 100mm mid + 2× tweeter = 6</t>
        </is>
      </c>
      <c r="D5" s="15" t="inlineStr">
        <is>
          <t>Woofer 120W; component 60W</t>
        </is>
      </c>
      <c r="E5" s="15" t="inlineStr">
        <is>
          <t>Woofer 240W; component 120W</t>
        </is>
      </c>
      <c r="F5" s="15" t="inlineStr">
        <is>
          <t>4Ω</t>
        </is>
      </c>
      <c r="G5" s="15" t="inlineStr">
        <is>
          <t>6/15</t>
        </is>
      </c>
      <c r="H5" s="19" t="inlineStr">
        <is>
          <t>MBC category + DLS says Model 3 2022+; SOP9 verify</t>
        </is>
      </c>
      <c r="I5" s="15" t="inlineStr">
        <is>
          <t>Sterke woofer RMS; nette prijs</t>
        </is>
      </c>
      <c r="J5" s="15" t="inlineStr">
        <is>
          <t>Veel posities ontbreken; geen full set</t>
        </is>
      </c>
      <c r="K5" s="49" t="inlineStr">
        <is>
          <t>https://mbcaraudio.nl/autospecifieke-producten/tesla-autospecifieke-producten-en-accessoires/automodel-typenummer-en-bouwjaar-selectie-tesla/tesla-model-3-facelift-bouwjaar-2023-</t>
        </is>
      </c>
      <c r="L5" s="49" t="inlineStr">
        <is>
          <t>https://dls.se/product/cruise-crpp-tsw-8/</t>
        </is>
      </c>
      <c r="M5" s="15" t="inlineStr">
        <is>
          <t>Interessante mix-optie</t>
        </is>
      </c>
      <c r="N5" s="15" t="inlineStr">
        <is>
          <t>AF M12.14 levert 60W @4Ω: perfect voor componentset, maar benut 120W woofer niet volledig.</t>
        </is>
      </c>
    </row>
    <row r="6">
      <c r="A6" s="15" t="inlineStr">
        <is>
          <t>MUSWAY TES3YSET1</t>
        </is>
      </c>
      <c r="B6" s="29" t="n">
        <v>799</v>
      </c>
      <c r="C6" s="15" t="inlineStr">
        <is>
          <t>2× woofer + 2× tweeter + 3× mid = 7 (plus sub, niet nodig)</t>
        </is>
      </c>
      <c r="D6" s="15" t="inlineStr">
        <is>
          <t>MAE6.2W 100W; MAE6.2T 100W; ML3M 60W</t>
        </is>
      </c>
      <c r="E6" s="15" t="inlineStr">
        <is>
          <t>200W / 200W / 120W</t>
        </is>
      </c>
      <c r="F6" s="15" t="inlineStr">
        <is>
          <t>3Ω woof/tweet; 4Ω mids</t>
        </is>
      </c>
      <c r="G6" s="15" t="inlineStr">
        <is>
          <t>7/15</t>
        </is>
      </c>
      <c r="H6" s="19" t="inlineStr">
        <is>
          <t>MBC Facelift category; fabrikant generiek Model 3/Y</t>
        </is>
      </c>
      <c r="I6" s="15" t="inlineStr">
        <is>
          <t>Complete adapters in kit; goede value</t>
        </is>
      </c>
      <c r="J6" s="15" t="inlineStr">
        <is>
          <t>Bevat sub die jij niet nodig hebt; geen full 15; SOP9 niet expliciet</t>
        </is>
      </c>
      <c r="K6" s="49" t="inlineStr">
        <is>
          <t>https://mbcaraudio.nl/autospecifieke-producten/tesla-autospecifieke-producten-en-accessoires/automodel-typenummer-en-bouwjaar-selectie-tesla/tesla-model-3-facelift-bouwjaar-2023-</t>
        </is>
      </c>
      <c r="L6" s="49" t="inlineStr">
        <is>
          <t>https://musway.de/english/tes3yset1.html</t>
        </is>
      </c>
      <c r="M6" s="15" t="inlineStr">
        <is>
          <t>Alleen na fitmentbevestiging</t>
        </is>
      </c>
      <c r="N6" s="15" t="inlineStr">
        <is>
          <t>Interessant als MBC korting geeft en sub uit pakket kan laten vervallen/crediteren.</t>
        </is>
      </c>
    </row>
    <row r="7">
      <c r="A7" s="15" t="inlineStr">
        <is>
          <t>ESX TES3YSET2</t>
        </is>
      </c>
      <c r="B7" s="29" t="n">
        <v>1199</v>
      </c>
      <c r="C7" s="15" t="inlineStr">
        <is>
          <t>2× woofer + 2× tweeter + 3× mid = 7 (plus sub, niet nodig)</t>
        </is>
      </c>
      <c r="D7" s="15" t="inlineStr">
        <is>
          <t>QXE8.2W 125W; VXP3M 60W; tweeter set spec verifiëren</t>
        </is>
      </c>
      <c r="E7" s="15" t="inlineStr">
        <is>
          <t>250W / 120W</t>
        </is>
      </c>
      <c r="F7" s="15" t="inlineStr">
        <is>
          <t>QXE woofer 3Ω; VXP mid 4Ω</t>
        </is>
      </c>
      <c r="G7" s="15" t="inlineStr">
        <is>
          <t>7/15</t>
        </is>
      </c>
      <c r="H7" s="19" t="inlineStr">
        <is>
          <t>MBC Facelift category; fabrikant generiek Model 3/Y</t>
        </is>
      </c>
      <c r="I7" s="15" t="inlineStr">
        <is>
          <t>Hoog vermogen / premium componenten</t>
        </is>
      </c>
      <c r="J7" s="15" t="inlineStr">
        <is>
          <t>Duur; sub overbodig; geen full 15; SOP9 niet expliciet</t>
        </is>
      </c>
      <c r="K7" s="49" t="inlineStr">
        <is>
          <t>https://mbcaraudio.nl/autospecifieke-producten/tesla-autospecifieke-producten-en-accessoires/automodel-typenummer-en-bouwjaar-selectie-tesla/tesla-model-3-facelift-bouwjaar-2023-</t>
        </is>
      </c>
      <c r="L7" s="49" t="inlineStr">
        <is>
          <t>https://www.esxaudio.de/english/tes3yset2.html</t>
        </is>
      </c>
      <c r="M7" s="15" t="inlineStr">
        <is>
          <t>Alleen bij forse bundelkorting</t>
        </is>
      </c>
      <c r="N7" s="15" t="inlineStr">
        <is>
          <t>AF M12.14 is voor de woofer relatief licht, maar DSP/gain blijft veilig; 3Ω output ligt tussen 4Ω/2Ω specificaties.</t>
        </is>
      </c>
    </row>
  </sheetData>
  <mergeCells count="2">
    <mergeCell ref="A2:N2"/>
    <mergeCell ref="A1:N1"/>
  </mergeCells>
  <hyperlinks>
    <hyperlink xmlns:r="http://schemas.openxmlformats.org/officeDocument/2006/relationships" ref="K5" r:id="rId1"/>
    <hyperlink xmlns:r="http://schemas.openxmlformats.org/officeDocument/2006/relationships" ref="L5" r:id="rId2"/>
    <hyperlink xmlns:r="http://schemas.openxmlformats.org/officeDocument/2006/relationships" ref="K6" r:id="rId3"/>
    <hyperlink xmlns:r="http://schemas.openxmlformats.org/officeDocument/2006/relationships" ref="L6" r:id="rId4"/>
    <hyperlink xmlns:r="http://schemas.openxmlformats.org/officeDocument/2006/relationships" ref="K7" r:id="rId5"/>
    <hyperlink xmlns:r="http://schemas.openxmlformats.org/officeDocument/2006/relationships" ref="L7" r:id="rId6"/>
  </hyperlinks>
  <pageMargins left="0.25" right="0.25" top="0.5" bottom="0.5" header="0.5" footer="0.5"/>
  <pageSetup fitToHeight="0" fitToWidth="1"/>
</worksheet>
</file>

<file path=xl/worksheets/sheet26.xml><?xml version="1.0" encoding="utf-8"?>
<worksheet xmlns="http://schemas.openxmlformats.org/spreadsheetml/2006/main">
  <sheetPr>
    <outlinePr summaryBelow="1" summaryRight="1"/>
    <pageSetUpPr fitToPage="1"/>
  </sheetPr>
  <dimension ref="A1:M31"/>
  <sheetViews>
    <sheetView showGridLines="0" workbookViewId="0">
      <pane ySplit="3" topLeftCell="A4" activePane="bottomLeft" state="frozen"/>
      <selection pane="bottomLeft" activeCell="A1" sqref="A1"/>
    </sheetView>
  </sheetViews>
  <sheetFormatPr baseColWidth="8" defaultRowHeight="15"/>
  <cols>
    <col width="31" customWidth="1" min="1" max="1"/>
    <col width="11" customWidth="1" min="2" max="2"/>
    <col width="14" customWidth="1" min="3" max="3"/>
    <col width="14" customWidth="1" min="4" max="4"/>
    <col width="17" customWidth="1" min="5" max="5"/>
    <col width="12" customWidth="1" min="6" max="6"/>
    <col width="28" customWidth="1" min="7" max="7"/>
    <col width="20" customWidth="1" min="8" max="8"/>
    <col width="12" customWidth="1" min="9" max="9"/>
    <col width="28" customWidth="1" min="10" max="10"/>
    <col width="20" customWidth="1" min="11" max="11"/>
    <col width="12" customWidth="1" min="12" max="12"/>
    <col width="52" customWidth="1" min="13" max="13"/>
  </cols>
  <sheetData>
    <row r="1" ht="26" customHeight="1">
      <c r="A1" s="50" t="inlineStr">
        <is>
          <t>RMS / MAX vermogensmatch – speakers versus DSP-versterkers</t>
        </is>
      </c>
    </row>
    <row r="2" ht="42" customHeight="1">
      <c r="A2" s="51" t="inlineStr">
        <is>
          <t>Nominal RMS comparison. Retained Pioneer TS-WX1220AH donor hardware remains separate. v1.8 records the previous Tesla SSR switching solution as field-proven for the VCFRONT/inrush symptom while keeping absolute supply-voltage compatibility as a separate open engineering gate.</t>
        </is>
      </c>
    </row>
    <row r="4" ht="30" customHeight="1">
      <c r="A4" s="14" t="inlineStr">
        <is>
          <t>Speaker / set</t>
        </is>
      </c>
      <c r="B4" s="14" t="inlineStr">
        <is>
          <t>Speaker Ω</t>
        </is>
      </c>
      <c r="C4" s="14" t="inlineStr">
        <is>
          <t>Speaker RMS W</t>
        </is>
      </c>
      <c r="D4" s="14" t="inlineStr">
        <is>
          <t>Speaker MAX W</t>
        </is>
      </c>
      <c r="E4" s="14" t="inlineStr">
        <is>
          <t>AF M12.14 RMS/ch</t>
        </is>
      </c>
      <c r="F4" s="14" t="inlineStr">
        <is>
          <t>AF ratio</t>
        </is>
      </c>
      <c r="G4" s="14" t="inlineStr">
        <is>
          <t>AF oordeel</t>
        </is>
      </c>
      <c r="H4" s="14" t="inlineStr">
        <is>
          <t>HELIX V Twelve RMS/ch</t>
        </is>
      </c>
      <c r="I4" s="14" t="inlineStr">
        <is>
          <t>HELIX ratio</t>
        </is>
      </c>
      <c r="J4" s="14" t="inlineStr">
        <is>
          <t>HELIX oordeel</t>
        </is>
      </c>
      <c r="K4" s="14" t="inlineStr">
        <is>
          <t>MATCH UP10 RMS/ch</t>
        </is>
      </c>
      <c r="L4" s="14" t="inlineStr">
        <is>
          <t>MATCH ratio</t>
        </is>
      </c>
      <c r="M4" s="14" t="inlineStr">
        <is>
          <t>Opmerking</t>
        </is>
      </c>
    </row>
    <row r="5">
      <c r="A5" s="15" t="inlineStr">
        <is>
          <t>Focal IW T3Y 200</t>
        </is>
      </c>
      <c r="B5" s="15" t="n">
        <v>4</v>
      </c>
      <c r="C5" s="15" t="n">
        <v>75</v>
      </c>
      <c r="D5" s="15" t="n">
        <v>150</v>
      </c>
      <c r="E5" s="15" t="n">
        <v>60</v>
      </c>
      <c r="F5" s="55">
        <f>IF(C5&gt;0,E5/C5,"")</f>
        <v/>
      </c>
      <c r="G5" s="15">
        <f>IF(F5&lt;0.75,"Amp beperkt speakervermogen",IF(F5&lt;=1.25,"Goede RMS-match",IF(F5&lt;=1.75,"Meer headroom – limiter/gain","Veel headroom – limiter vereist")))</f>
        <v/>
      </c>
      <c r="H5" s="15" t="n">
        <v>75</v>
      </c>
      <c r="I5" s="55">
        <f>IF(C5&gt;0,H5/C5,"")</f>
        <v/>
      </c>
      <c r="J5" s="15">
        <f>IF(I5&lt;0.75,"Amp beperkt speakervermogen",IF(I5&lt;=1.25,"Goede RMS-match",IF(I5&lt;=1.75,"Meer headroom – limiter/gain","Veel headroom – limiter vereist")))</f>
        <v/>
      </c>
      <c r="K5" s="15" t="n">
        <v>65</v>
      </c>
      <c r="L5" s="55">
        <f>IF(C5&gt;0,K5/C5,"")</f>
        <v/>
      </c>
      <c r="M5" s="15" t="inlineStr">
        <is>
          <t>Front 200mm woofer</t>
        </is>
      </c>
    </row>
    <row r="6">
      <c r="A6" s="15" t="inlineStr">
        <is>
          <t>Focal IS T3Y 100 (mid+tweeter via crossover)</t>
        </is>
      </c>
      <c r="B6" s="15" t="n">
        <v>4</v>
      </c>
      <c r="C6" s="15" t="n">
        <v>50</v>
      </c>
      <c r="D6" s="15" t="n">
        <v>100</v>
      </c>
      <c r="E6" s="15" t="n">
        <v>60</v>
      </c>
      <c r="F6" s="55">
        <f>IF(C6&gt;0,E6/C6,"")</f>
        <v/>
      </c>
      <c r="G6" s="15">
        <f>IF(F6&lt;0.75,"Amp beperkt speakervermogen",IF(F6&lt;=1.25,"Goede RMS-match",IF(F6&lt;=1.75,"Meer headroom – limiter/gain","Veel headroom – limiter vereist")))</f>
        <v/>
      </c>
      <c r="H6" s="15" t="n">
        <v>75</v>
      </c>
      <c r="I6" s="55">
        <f>IF(C6&gt;0,H6/C6,"")</f>
        <v/>
      </c>
      <c r="J6" s="15">
        <f>IF(I6&lt;0.75,"Amp beperkt speakervermogen",IF(I6&lt;=1.25,"Goede RMS-match",IF(I6&lt;=1.75,"Meer headroom – limiter/gain","Veel headroom – limiter vereist")))</f>
        <v/>
      </c>
      <c r="K6" s="15" t="n">
        <v>65</v>
      </c>
      <c r="L6" s="55">
        <f>IF(C6&gt;0,K6/C6,"")</f>
        <v/>
      </c>
      <c r="M6" s="15" t="inlineStr">
        <is>
          <t>Component set rating</t>
        </is>
      </c>
    </row>
    <row r="7">
      <c r="A7" s="15" t="inlineStr">
        <is>
          <t>Focal ICC T3Y 100</t>
        </is>
      </c>
      <c r="B7" s="15" t="n">
        <v>4</v>
      </c>
      <c r="C7" s="15" t="n">
        <v>50</v>
      </c>
      <c r="D7" s="15" t="n">
        <v>100</v>
      </c>
      <c r="E7" s="15" t="n">
        <v>60</v>
      </c>
      <c r="F7" s="55">
        <f>IF(C7&gt;0,E7/C7,"")</f>
        <v/>
      </c>
      <c r="G7" s="15">
        <f>IF(F7&lt;0.75,"Amp beperkt speakervermogen",IF(F7&lt;=1.25,"Goede RMS-match",IF(F7&lt;=1.75,"Meer headroom – limiter/gain","Veel headroom – limiter vereist")))</f>
        <v/>
      </c>
      <c r="H7" s="15" t="n">
        <v>75</v>
      </c>
      <c r="I7" s="55">
        <f>IF(C7&gt;0,H7/C7,"")</f>
        <v/>
      </c>
      <c r="J7" s="15">
        <f>IF(I7&lt;0.75,"Amp beperkt speakervermogen",IF(I7&lt;=1.25,"Goede RMS-match",IF(I7&lt;=1.75,"Meer headroom – limiter/gain","Veel headroom – limiter vereist")))</f>
        <v/>
      </c>
      <c r="K7" s="15" t="n">
        <v>65</v>
      </c>
      <c r="L7" s="55">
        <f>IF(C7&gt;0,K7/C7,"")</f>
        <v/>
      </c>
      <c r="M7" s="15" t="inlineStr">
        <is>
          <t>Highland: center only</t>
        </is>
      </c>
    </row>
    <row r="8">
      <c r="A8" s="15" t="inlineStr">
        <is>
          <t>Focal IC T3Y 100</t>
        </is>
      </c>
      <c r="B8" s="15" t="n">
        <v>4</v>
      </c>
      <c r="C8" s="15" t="n">
        <v>40</v>
      </c>
      <c r="D8" s="15" t="n">
        <v>80</v>
      </c>
      <c r="E8" s="15" t="n">
        <v>60</v>
      </c>
      <c r="F8" s="55">
        <f>IF(C8&gt;0,E8/C8,"")</f>
        <v/>
      </c>
      <c r="G8" s="15">
        <f>IF(F8&lt;0.75,"Amp beperkt speakervermogen",IF(F8&lt;=1.25,"Goede RMS-match",IF(F8&lt;=1.75,"Meer headroom – limiter/gain","Veel headroom – limiter vereist")))</f>
        <v/>
      </c>
      <c r="H8" s="15" t="n">
        <v>75</v>
      </c>
      <c r="I8" s="55">
        <f>IF(C8&gt;0,H8/C8,"")</f>
        <v/>
      </c>
      <c r="J8" s="15">
        <f>IF(I8&lt;0.75,"Amp beperkt speakervermogen",IF(I8&lt;=1.25,"Goede RMS-match",IF(I8&lt;=1.75,"Meer headroom – limiter/gain","Veel headroom – limiter vereist")))</f>
        <v/>
      </c>
      <c r="K8" s="15" t="n">
        <v>65</v>
      </c>
      <c r="L8" s="55">
        <f>IF(C8&gt;0,K8/C8,"")</f>
        <v/>
      </c>
      <c r="M8" s="15" t="inlineStr">
        <is>
          <t>Rear/parcel coax</t>
        </is>
      </c>
    </row>
    <row r="9">
      <c r="A9" s="15" t="inlineStr">
        <is>
          <t>DLS CRPP-TS1.4</t>
        </is>
      </c>
      <c r="B9" s="15" t="n">
        <v>4</v>
      </c>
      <c r="C9" s="15" t="n">
        <v>60</v>
      </c>
      <c r="D9" s="15" t="n">
        <v>120</v>
      </c>
      <c r="E9" s="15" t="n">
        <v>60</v>
      </c>
      <c r="F9" s="55">
        <f>IF(C9&gt;0,E9/C9,"")</f>
        <v/>
      </c>
      <c r="G9" s="15">
        <f>IF(F9&lt;0.75,"Amp beperkt speakervermogen",IF(F9&lt;=1.25,"Goede RMS-match",IF(F9&lt;=1.75,"Meer headroom – limiter/gain","Veel headroom – limiter vereist")))</f>
        <v/>
      </c>
      <c r="H9" s="15" t="n">
        <v>75</v>
      </c>
      <c r="I9" s="55">
        <f>IF(C9&gt;0,H9/C9,"")</f>
        <v/>
      </c>
      <c r="J9" s="15">
        <f>IF(I9&lt;0.75,"Amp beperkt speakervermogen",IF(I9&lt;=1.25,"Goede RMS-match",IF(I9&lt;=1.75,"Meer headroom – limiter/gain","Veel headroom – limiter vereist")))</f>
        <v/>
      </c>
      <c r="K9" s="15" t="n">
        <v>65</v>
      </c>
      <c r="L9" s="55">
        <f>IF(C9&gt;0,K9/C9,"")</f>
        <v/>
      </c>
      <c r="M9" s="15" t="inlineStr">
        <is>
          <t>Component set</t>
        </is>
      </c>
    </row>
    <row r="10">
      <c r="A10" s="15" t="inlineStr">
        <is>
          <t>DLS CRPP-TSW.8</t>
        </is>
      </c>
      <c r="B10" s="15" t="n">
        <v>4</v>
      </c>
      <c r="C10" s="15" t="n">
        <v>120</v>
      </c>
      <c r="D10" s="15" t="n">
        <v>240</v>
      </c>
      <c r="E10" s="15" t="n">
        <v>60</v>
      </c>
      <c r="F10" s="55">
        <f>IF(C10&gt;0,E10/C10,"")</f>
        <v/>
      </c>
      <c r="G10" s="15">
        <f>IF(F10&lt;0.75,"Amp beperkt speakervermogen",IF(F10&lt;=1.25,"Goede RMS-match",IF(F10&lt;=1.75,"Meer headroom – limiter/gain","Veel headroom – limiter vereist")))</f>
        <v/>
      </c>
      <c r="H10" s="15" t="n">
        <v>75</v>
      </c>
      <c r="I10" s="55">
        <f>IF(C10&gt;0,H10/C10,"")</f>
        <v/>
      </c>
      <c r="J10" s="15">
        <f>IF(I10&lt;0.75,"Amp beperkt speakervermogen",IF(I10&lt;=1.25,"Goede RMS-match",IF(I10&lt;=1.75,"Meer headroom – limiter/gain","Veel headroom – limiter vereist")))</f>
        <v/>
      </c>
      <c r="K10" s="15" t="n">
        <v>65</v>
      </c>
      <c r="L10" s="55">
        <f>IF(C10&gt;0,K10/C10,"")</f>
        <v/>
      </c>
      <c r="M10" s="15" t="inlineStr">
        <is>
          <t>Front woofer</t>
        </is>
      </c>
    </row>
    <row r="11">
      <c r="A11" s="15" t="inlineStr">
        <is>
          <t>Audison AP TSL M4M</t>
        </is>
      </c>
      <c r="B11" s="15" t="n">
        <v>4</v>
      </c>
      <c r="C11" s="15" t="n">
        <v>50</v>
      </c>
      <c r="D11" s="15" t="n">
        <v>100</v>
      </c>
      <c r="E11" s="15" t="n">
        <v>60</v>
      </c>
      <c r="F11" s="55">
        <f>IF(C11&gt;0,E11/C11,"")</f>
        <v/>
      </c>
      <c r="G11" s="15">
        <f>IF(F11&lt;0.75,"Amp beperkt speakervermogen",IF(F11&lt;=1.25,"Goede RMS-match",IF(F11&lt;=1.75,"Meer headroom – limiter/gain","Veel headroom – limiter vereist")))</f>
        <v/>
      </c>
      <c r="H11" s="15" t="n">
        <v>75</v>
      </c>
      <c r="I11" s="55">
        <f>IF(C11&gt;0,H11/C11,"")</f>
        <v/>
      </c>
      <c r="J11" s="15">
        <f>IF(I11&lt;0.75,"Amp beperkt speakervermogen",IF(I11&lt;=1.25,"Goede RMS-match",IF(I11&lt;=1.75,"Meer headroom – limiter/gain","Veel headroom – limiter vereist")))</f>
        <v/>
      </c>
      <c r="K11" s="15" t="n">
        <v>65</v>
      </c>
      <c r="L11" s="55">
        <f>IF(C11&gt;0,K11/C11,"")</f>
        <v/>
      </c>
      <c r="M11" s="15" t="inlineStr">
        <is>
          <t>Audison Tesla kit; not Highland currently</t>
        </is>
      </c>
    </row>
    <row r="12">
      <c r="A12" s="15" t="inlineStr">
        <is>
          <t>Audison AP TSL X4M</t>
        </is>
      </c>
      <c r="B12" s="15" t="n">
        <v>4</v>
      </c>
      <c r="C12" s="15" t="n">
        <v>40</v>
      </c>
      <c r="D12" s="15" t="n">
        <v>80</v>
      </c>
      <c r="E12" s="15" t="n">
        <v>60</v>
      </c>
      <c r="F12" s="55">
        <f>IF(C12&gt;0,E12/C12,"")</f>
        <v/>
      </c>
      <c r="G12" s="15">
        <f>IF(F12&lt;0.75,"Amp beperkt speakervermogen",IF(F12&lt;=1.25,"Goede RMS-match",IF(F12&lt;=1.75,"Meer headroom – limiter/gain","Veel headroom – limiter vereist")))</f>
        <v/>
      </c>
      <c r="H12" s="15" t="n">
        <v>75</v>
      </c>
      <c r="I12" s="55">
        <f>IF(C12&gt;0,H12/C12,"")</f>
        <v/>
      </c>
      <c r="J12" s="15">
        <f>IF(I12&lt;0.75,"Amp beperkt speakervermogen",IF(I12&lt;=1.25,"Goede RMS-match",IF(I12&lt;=1.75,"Meer headroom – limiter/gain","Veel headroom – limiter vereist")))</f>
        <v/>
      </c>
      <c r="K12" s="15" t="n">
        <v>65</v>
      </c>
      <c r="L12" s="55">
        <f>IF(C12&gt;0,K12/C12,"")</f>
        <v/>
      </c>
      <c r="M12" s="15" t="inlineStr">
        <is>
          <t>Audison Tesla kit; not Highland currently</t>
        </is>
      </c>
    </row>
    <row r="13">
      <c r="A13" s="15" t="inlineStr">
        <is>
          <t>Audison AP TSL 8</t>
        </is>
      </c>
      <c r="B13" s="15" t="n">
        <v>4</v>
      </c>
      <c r="C13" s="15" t="n">
        <v>100</v>
      </c>
      <c r="D13" s="15" t="n">
        <v>300</v>
      </c>
      <c r="E13" s="15" t="n">
        <v>60</v>
      </c>
      <c r="F13" s="55">
        <f>IF(C13&gt;0,E13/C13,"")</f>
        <v/>
      </c>
      <c r="G13" s="15">
        <f>IF(F13&lt;0.75,"Amp beperkt speakervermogen",IF(F13&lt;=1.25,"Goede RMS-match",IF(F13&lt;=1.75,"Meer headroom – limiter/gain","Veel headroom – limiter vereist")))</f>
        <v/>
      </c>
      <c r="H13" s="15" t="n">
        <v>75</v>
      </c>
      <c r="I13" s="55">
        <f>IF(C13&gt;0,H13/C13,"")</f>
        <v/>
      </c>
      <c r="J13" s="15">
        <f>IF(I13&lt;0.75,"Amp beperkt speakervermogen",IF(I13&lt;=1.25,"Goede RMS-match",IF(I13&lt;=1.75,"Meer headroom – limiter/gain","Veel headroom – limiter vereist")))</f>
        <v/>
      </c>
      <c r="K13" s="15" t="n">
        <v>65</v>
      </c>
      <c r="L13" s="55">
        <f>IF(C13&gt;0,K13/C13,"")</f>
        <v/>
      </c>
      <c r="M13" s="15" t="inlineStr">
        <is>
          <t>Audison Tesla kit; not Highland currently</t>
        </is>
      </c>
    </row>
    <row r="14">
      <c r="A14" s="15" t="inlineStr">
        <is>
          <t>MUSWAY ML3M</t>
        </is>
      </c>
      <c r="B14" s="15" t="n">
        <v>4</v>
      </c>
      <c r="C14" s="15" t="n">
        <v>60</v>
      </c>
      <c r="D14" s="15" t="n">
        <v>120</v>
      </c>
      <c r="E14" s="15" t="n">
        <v>60</v>
      </c>
      <c r="F14" s="55">
        <f>IF(C14&gt;0,E14/C14,"")</f>
        <v/>
      </c>
      <c r="G14" s="15">
        <f>IF(F14&lt;0.75,"Amp beperkt speakervermogen",IF(F14&lt;=1.25,"Goede RMS-match",IF(F14&lt;=1.75,"Meer headroom – limiter/gain","Veel headroom – limiter vereist")))</f>
        <v/>
      </c>
      <c r="H14" s="15" t="n">
        <v>75</v>
      </c>
      <c r="I14" s="55">
        <f>IF(C14&gt;0,H14/C14,"")</f>
        <v/>
      </c>
      <c r="J14" s="15">
        <f>IF(I14&lt;0.75,"Amp beperkt speakervermogen",IF(I14&lt;=1.25,"Goede RMS-match",IF(I14&lt;=1.75,"Meer headroom – limiter/gain","Veel headroom – limiter vereist")))</f>
        <v/>
      </c>
      <c r="K14" s="15" t="n">
        <v>65</v>
      </c>
      <c r="L14" s="55">
        <f>IF(C14&gt;0,K14/C14,"")</f>
        <v/>
      </c>
      <c r="M14" s="15" t="inlineStr">
        <is>
          <t>TES3YSET1 mid</t>
        </is>
      </c>
    </row>
    <row r="15">
      <c r="A15" s="15" t="inlineStr">
        <is>
          <t>MUSWAY MAE6.2W</t>
        </is>
      </c>
      <c r="B15" s="15" t="n">
        <v>3</v>
      </c>
      <c r="C15" s="15" t="n">
        <v>100</v>
      </c>
      <c r="D15" s="15" t="n">
        <v>200</v>
      </c>
      <c r="E15" s="15" t="n">
        <v>60</v>
      </c>
      <c r="F15" s="55">
        <f>IF(C15&gt;0,E15/C15,"")</f>
        <v/>
      </c>
      <c r="G15" s="15">
        <f>IF(F15&lt;0.75,"Amp beperkt speakervermogen",IF(F15&lt;=1.25,"Goede RMS-match",IF(F15&lt;=1.75,"Meer headroom – limiter/gain","Veel headroom – limiter vereist")))</f>
        <v/>
      </c>
      <c r="H15" s="15" t="n">
        <v>75</v>
      </c>
      <c r="I15" s="55">
        <f>IF(C15&gt;0,H15/C15,"")</f>
        <v/>
      </c>
      <c r="J15" s="15">
        <f>IF(I15&lt;0.75,"Amp beperkt speakervermogen",IF(I15&lt;=1.25,"Goede RMS-match",IF(I15&lt;=1.75,"Meer headroom – limiter/gain","Veel headroom – limiter vereist")))</f>
        <v/>
      </c>
      <c r="K15" s="15" t="n">
        <v>65</v>
      </c>
      <c r="L15" s="55">
        <f>IF(C15&gt;0,K15/C15,"")</f>
        <v/>
      </c>
      <c r="M15" s="15" t="inlineStr">
        <is>
          <t>TES3YSET1 woofer; exact 3Ω AF power not specified</t>
        </is>
      </c>
    </row>
    <row r="16">
      <c r="A16" s="15" t="inlineStr">
        <is>
          <t>ESX VXP3M</t>
        </is>
      </c>
      <c r="B16" s="15" t="n">
        <v>4</v>
      </c>
      <c r="C16" s="15" t="n">
        <v>60</v>
      </c>
      <c r="D16" s="15" t="n">
        <v>120</v>
      </c>
      <c r="E16" s="15" t="n">
        <v>60</v>
      </c>
      <c r="F16" s="55">
        <f>IF(C16&gt;0,E16/C16,"")</f>
        <v/>
      </c>
      <c r="G16" s="15">
        <f>IF(F16&lt;0.75,"Amp beperkt speakervermogen",IF(F16&lt;=1.25,"Goede RMS-match",IF(F16&lt;=1.75,"Meer headroom – limiter/gain","Veel headroom – limiter vereist")))</f>
        <v/>
      </c>
      <c r="H16" s="15" t="n">
        <v>75</v>
      </c>
      <c r="I16" s="55">
        <f>IF(C16&gt;0,H16/C16,"")</f>
        <v/>
      </c>
      <c r="J16" s="15">
        <f>IF(I16&lt;0.75,"Amp beperkt speakervermogen",IF(I16&lt;=1.25,"Goede RMS-match",IF(I16&lt;=1.75,"Meer headroom – limiter/gain","Veel headroom – limiter vereist")))</f>
        <v/>
      </c>
      <c r="K16" s="15" t="n">
        <v>65</v>
      </c>
      <c r="L16" s="55">
        <f>IF(C16&gt;0,K16/C16,"")</f>
        <v/>
      </c>
      <c r="M16" s="15" t="inlineStr">
        <is>
          <t>TES3YSET2 mid</t>
        </is>
      </c>
    </row>
    <row r="17">
      <c r="A17" s="15" t="inlineStr">
        <is>
          <t>ESX QXE8.2W</t>
        </is>
      </c>
      <c r="B17" s="15" t="n">
        <v>3</v>
      </c>
      <c r="C17" s="15" t="n">
        <v>125</v>
      </c>
      <c r="D17" s="15" t="n">
        <v>250</v>
      </c>
      <c r="E17" s="15" t="n">
        <v>60</v>
      </c>
      <c r="F17" s="55">
        <f>IF(C17&gt;0,E17/C17,"")</f>
        <v/>
      </c>
      <c r="G17" s="15">
        <f>IF(F17&lt;0.75,"Amp beperkt speakervermogen",IF(F17&lt;=1.25,"Goede RMS-match",IF(F17&lt;=1.75,"Meer headroom – limiter/gain","Veel headroom – limiter vereist")))</f>
        <v/>
      </c>
      <c r="H17" s="15" t="n">
        <v>75</v>
      </c>
      <c r="I17" s="55">
        <f>IF(C17&gt;0,H17/C17,"")</f>
        <v/>
      </c>
      <c r="J17" s="15">
        <f>IF(I17&lt;0.75,"Amp beperkt speakervermogen",IF(I17&lt;=1.25,"Goede RMS-match",IF(I17&lt;=1.75,"Meer headroom – limiter/gain","Veel headroom – limiter vereist")))</f>
        <v/>
      </c>
      <c r="K17" s="15" t="n">
        <v>65</v>
      </c>
      <c r="L17" s="55">
        <f>IF(C17&gt;0,K17/C17,"")</f>
        <v/>
      </c>
      <c r="M17" s="15" t="inlineStr">
        <is>
          <t>TES3YSET2 woofer; exact 3Ω AF power not specified</t>
        </is>
      </c>
    </row>
    <row r="19">
      <c r="A19" s="62" t="inlineStr">
        <is>
          <t>Amplifier referentie</t>
        </is>
      </c>
      <c r="B19" s="56" t="n"/>
      <c r="C19" s="56" t="n"/>
      <c r="D19" s="56" t="n"/>
      <c r="E19" s="56" t="n"/>
      <c r="F19" s="56" t="n"/>
      <c r="G19" s="56" t="n"/>
      <c r="H19" s="56" t="n"/>
      <c r="I19" s="56" t="n"/>
      <c r="J19" s="56" t="n"/>
      <c r="K19" s="56" t="n"/>
      <c r="L19" s="56" t="n"/>
      <c r="M19" s="56" t="n"/>
    </row>
    <row r="20">
      <c r="A20" s="15" t="inlineStr">
        <is>
          <t>Audison AF M12.14 bit</t>
        </is>
      </c>
      <c r="B20" s="15" t="inlineStr">
        <is>
          <t>12×60W @4Ω = 720W; 12×90W @2Ω = 1080W; 6×180W bridged @4Ω = 1080W; official Total Power RMS 1080W</t>
        </is>
      </c>
      <c r="C20" s="15" t="inlineStr">
        <is>
          <t>€1.349 MBC</t>
        </is>
      </c>
      <c r="D20" s="15" t="inlineStr">
        <is>
          <t>12 amp / 14 DSP; aanbevolen MBC-first</t>
        </is>
      </c>
      <c r="E20" s="15" t="n"/>
      <c r="F20" s="15" t="n"/>
      <c r="G20" s="15" t="n"/>
      <c r="H20" s="15" t="n"/>
      <c r="I20" s="15" t="n"/>
      <c r="J20" s="15" t="n"/>
      <c r="K20" s="15" t="n"/>
      <c r="L20" s="15" t="n"/>
      <c r="M20" s="15" t="n"/>
    </row>
    <row r="21">
      <c r="A21" s="15" t="inlineStr">
        <is>
          <t>HELIX V TWELVE DSP MK2</t>
        </is>
      </c>
      <c r="B21" s="15" t="inlineStr">
        <is>
          <t>12×75W @4Ω = 900W; 12×120W @2Ω = 1440W</t>
        </is>
      </c>
      <c r="C21" s="15" t="inlineStr">
        <is>
          <t>€1.499 MBC</t>
        </is>
      </c>
      <c r="D21" s="15" t="inlineStr">
        <is>
          <t>Meer speakerpower, maar controller/harness opnieuw begroten</t>
        </is>
      </c>
      <c r="E21" s="15" t="n"/>
      <c r="F21" s="15" t="n"/>
      <c r="G21" s="15" t="n"/>
      <c r="H21" s="15" t="n"/>
      <c r="I21" s="15" t="n"/>
      <c r="J21" s="15" t="n"/>
      <c r="K21" s="15" t="n"/>
      <c r="L21" s="15" t="n"/>
      <c r="M21" s="15" t="n"/>
    </row>
    <row r="22">
      <c r="A22" s="15" t="inlineStr">
        <is>
          <t>MATCH UP 10DSP 24V (MBC page)</t>
        </is>
      </c>
      <c r="B22" s="15" t="inlineStr">
        <is>
          <t>8×65W + 2×90W @4Ω = 700W (MBC page is 24V model; verify vehicle-voltage suitability)</t>
        </is>
      </c>
      <c r="C22" s="15" t="inlineStr">
        <is>
          <t>€1.049 MBC</t>
        </is>
      </c>
      <c r="D22" s="15" t="inlineStr">
        <is>
          <t>MBC-link is 24V uitvoering; niet automatisch geschikt voor jouw voertuigvoeding – verify exact 12/16V model</t>
        </is>
      </c>
      <c r="E22" s="15" t="n"/>
      <c r="F22" s="15" t="n"/>
      <c r="G22" s="15" t="n"/>
      <c r="H22" s="15" t="n"/>
      <c r="I22" s="15" t="n"/>
      <c r="J22" s="15" t="n"/>
      <c r="K22" s="15" t="n"/>
      <c r="L22" s="15" t="n"/>
      <c r="M22" s="15" t="n"/>
    </row>
    <row r="24">
      <c r="A24" s="97" t="inlineStr">
        <is>
          <t>Retained Pioneer TS-WX1220AH donor subsystem</t>
        </is>
      </c>
    </row>
    <row r="25">
      <c r="A25" s="15" t="inlineStr">
        <is>
          <t>2 × Pioneer 30 cm donor woofers</t>
        </is>
      </c>
      <c r="B25" s="15" t="inlineStr">
        <is>
          <t>Original donor system rating</t>
        </is>
      </c>
      <c r="C25" s="15" t="inlineStr">
        <is>
          <t>1000 W RMS</t>
        </is>
      </c>
      <c r="D25" s="15" t="inlineStr">
        <is>
          <t>3000 W max</t>
        </is>
      </c>
      <c r="E25" s="15" t="n"/>
      <c r="F25" s="15" t="n"/>
      <c r="G25" s="15" t="n"/>
      <c r="H25" s="15" t="n"/>
      <c r="I25" s="15" t="n"/>
      <c r="J25" s="15" t="n"/>
      <c r="K25" s="15" t="n"/>
      <c r="L25" s="15" t="n"/>
      <c r="M25" s="15" t="inlineStr">
        <is>
          <t>Custom lower-trunk baffle; original Pioneer enclosure not used</t>
        </is>
      </c>
    </row>
    <row r="26">
      <c r="A26" s="15" t="inlineStr">
        <is>
          <t>Original Pioneer Class-D amp</t>
        </is>
      </c>
      <c r="B26" s="15" t="inlineStr">
        <is>
          <t>Supply</t>
        </is>
      </c>
      <c r="C26" s="15" t="inlineStr">
        <is>
          <t>10.8–15.1 V</t>
        </is>
      </c>
      <c r="D26" s="15" t="inlineStr">
        <is>
          <t>600 W RMS / 1200 W max</t>
        </is>
      </c>
      <c r="E26" s="15" t="n"/>
      <c r="F26" s="15" t="n"/>
      <c r="G26" s="15" t="n"/>
      <c r="H26" s="15" t="n"/>
      <c r="I26" s="15" t="n"/>
      <c r="J26" s="15" t="n"/>
      <c r="K26" s="15" t="n"/>
      <c r="L26" s="15" t="n"/>
      <c r="M26" s="15" t="inlineStr">
        <is>
          <t>50 A max current; negative ground; Pioneer example dedicated 80 A fuse</t>
        </is>
      </c>
    </row>
    <row r="27">
      <c r="A27" s="78" t="inlineStr">
        <is>
          <t>Tesla LV compatibility</t>
        </is>
      </c>
      <c r="B27" s="78" t="inlineStr">
        <is>
          <t>Tesla published LV</t>
        </is>
      </c>
      <c r="C27" s="78" t="inlineStr">
        <is>
          <t>15.5 V</t>
        </is>
      </c>
      <c r="D27" s="78" t="inlineStr">
        <is>
          <t>&gt; Pioneer 15.1 V max</t>
        </is>
      </c>
      <c r="E27" s="78" t="n"/>
      <c r="F27" s="78" t="n"/>
      <c r="G27" s="78" t="n"/>
      <c r="H27" s="78" t="n"/>
      <c r="I27" s="78" t="n"/>
      <c r="J27" s="78" t="n"/>
      <c r="K27" s="78" t="n"/>
      <c r="L27" s="78" t="n"/>
      <c r="M27" s="78" t="inlineStr">
        <is>
          <t>Direct connection not approved; verify actual SOP9 voltage / regulate if required</t>
        </is>
      </c>
    </row>
    <row r="29">
      <c r="A29" s="76" t="inlineStr">
        <is>
          <t>PIONEER / TESLA POWER NOTE v1.8</t>
        </is>
      </c>
      <c r="B29" s="76" t="n"/>
      <c r="C29" s="76" t="n"/>
      <c r="D29" s="76" t="n"/>
      <c r="E29" s="76" t="n"/>
      <c r="F29" s="76" t="n"/>
      <c r="G29" s="76" t="n"/>
      <c r="H29" s="76" t="n"/>
      <c r="I29" s="76" t="n"/>
      <c r="J29" s="76" t="n"/>
      <c r="K29" s="76" t="n"/>
      <c r="L29" s="76" t="n"/>
      <c r="M29" s="76" t="n"/>
    </row>
    <row r="30">
      <c r="A30" s="120" t="inlineStr">
        <is>
          <t>Prior vehicle result</t>
        </is>
      </c>
      <c r="B30" s="120" t="inlineStr">
        <is>
          <t>Without SSR: VCFRONT / cannot maintain DC power errors. With SSR-based switching: stable operation.</t>
        </is>
      </c>
      <c r="C30" s="120" t="n"/>
      <c r="D30" s="120" t="n"/>
      <c r="E30" s="120" t="n"/>
      <c r="F30" s="120" t="n"/>
      <c r="G30" s="120" t="n"/>
      <c r="H30" s="120" t="n"/>
      <c r="I30" s="120" t="n"/>
      <c r="J30" s="120" t="n"/>
      <c r="K30" s="120" t="n"/>
      <c r="L30" s="120" t="n"/>
      <c r="M30" s="120" t="n"/>
    </row>
    <row r="31">
      <c r="A31" s="120" t="inlineStr">
        <is>
          <t>SOP9 rule</t>
        </is>
      </c>
      <c r="B31" s="120" t="inlineStr">
        <is>
          <t>Reuse the proven switching concept, but independently resolve 15.5 V vehicle LV vs Pioneer 15.1 V maximum and final high-current feed/fusing.</t>
        </is>
      </c>
      <c r="C31" s="120" t="n"/>
      <c r="D31" s="120" t="n"/>
      <c r="E31" s="120" t="n"/>
      <c r="F31" s="120" t="n"/>
      <c r="G31" s="120" t="n"/>
      <c r="H31" s="120" t="n"/>
      <c r="I31" s="120" t="n"/>
      <c r="J31" s="120" t="n"/>
      <c r="K31" s="120" t="n"/>
      <c r="L31" s="120" t="n"/>
      <c r="M31" s="120" t="n"/>
    </row>
  </sheetData>
  <mergeCells count="4">
    <mergeCell ref="A19:M19"/>
    <mergeCell ref="A2:M2"/>
    <mergeCell ref="A24:M24"/>
    <mergeCell ref="A1:M1"/>
  </mergeCells>
  <pageMargins left="0.25" right="0.25" top="0.5" bottom="0.5" header="0.5" footer="0.5"/>
  <pageSetup fitToHeight="0" fitToWidth="1"/>
</worksheet>
</file>

<file path=xl/worksheets/sheet27.xml><?xml version="1.0" encoding="utf-8"?>
<worksheet xmlns="http://schemas.openxmlformats.org/spreadsheetml/2006/main">
  <sheetPr>
    <outlinePr summaryBelow="1" summaryRight="1"/>
    <pageSetUpPr fitToPage="1"/>
  </sheetPr>
  <dimension ref="A1:N21"/>
  <sheetViews>
    <sheetView showGridLines="0" workbookViewId="0">
      <pane ySplit="4" topLeftCell="A5" activePane="bottomLeft" state="frozen"/>
      <selection pane="bottomLeft" activeCell="A1" sqref="A1"/>
    </sheetView>
  </sheetViews>
  <sheetFormatPr baseColWidth="8" defaultRowHeight="15"/>
  <cols>
    <col width="9" customWidth="1" min="1" max="1"/>
    <col width="18" customWidth="1" min="2" max="2"/>
    <col width="30" customWidth="1" min="3" max="3"/>
    <col width="7" customWidth="1" min="4" max="4"/>
    <col width="15" customWidth="1" min="5" max="5"/>
    <col width="15" customWidth="1" min="6" max="6"/>
    <col width="34" customWidth="1" min="7" max="7"/>
    <col width="35" customWidth="1" min="8" max="8"/>
    <col width="16" customWidth="1" min="9" max="9"/>
    <col width="18" customWidth="1" min="10" max="10"/>
    <col width="18" customWidth="1" min="11" max="11"/>
    <col width="48" customWidth="1" min="12" max="12"/>
    <col width="26" customWidth="1" min="13" max="13"/>
    <col width="48" customWidth="1" min="14" max="14"/>
  </cols>
  <sheetData>
    <row r="1" ht="24" customHeight="1">
      <c r="A1" s="167" t="inlineStr">
        <is>
          <t>MB Car Audio — ontvangen hardwareprijsopgaaf 2026-09-10</t>
        </is>
      </c>
    </row>
    <row r="2" ht="35" customHeight="1">
      <c r="A2" s="168" t="inlineStr">
        <is>
          <t>Werkelijke ontvangen prijsopgaaf. €4.010,90 is uitsluitend hardware: geen bekabeling, demping, montage-/verbruiksmateriaal en geen arbeid. Montage en afregeling worden door eigenaar uitgevoerd.</t>
        </is>
      </c>
    </row>
    <row r="3"/>
    <row r="4" ht="32" customHeight="1">
      <c r="A4" s="63" t="inlineStr">
        <is>
          <t>Select</t>
        </is>
      </c>
      <c r="B4" s="63" t="inlineStr">
        <is>
          <t>Categorie</t>
        </is>
      </c>
      <c r="C4" s="63" t="inlineStr">
        <is>
          <t>Product</t>
        </is>
      </c>
      <c r="D4" s="63" t="inlineStr">
        <is>
          <t>Qty</t>
        </is>
      </c>
      <c r="E4" s="63" t="inlineStr">
        <is>
          <t>MB prijs / unit</t>
        </is>
      </c>
      <c r="F4" s="63" t="inlineStr">
        <is>
          <t>MB totaal</t>
        </is>
      </c>
      <c r="G4" s="63" t="inlineStr">
        <is>
          <t>Functie / zone</t>
        </is>
      </c>
      <c r="H4" s="63" t="inlineStr">
        <is>
          <t>Bekend uit gesprek</t>
        </is>
      </c>
      <c r="I4" s="63" t="inlineStr">
        <is>
          <t>Online laagste</t>
        </is>
      </c>
      <c r="J4" s="63" t="inlineStr">
        <is>
          <t>Potentiële besparing</t>
        </is>
      </c>
      <c r="K4" s="63" t="inlineStr">
        <is>
          <t>Prijsstatus</t>
        </is>
      </c>
      <c r="L4" s="63" t="inlineStr">
        <is>
          <t>Bron / referentie</t>
        </is>
      </c>
      <c r="M4" s="63" t="inlineStr">
        <is>
          <t>SOP9 status</t>
        </is>
      </c>
      <c r="N4" s="63" t="inlineStr">
        <is>
          <t>Notitie</t>
        </is>
      </c>
    </row>
    <row r="5" ht="42" customHeight="1">
      <c r="A5" s="15" t="inlineStr">
        <is>
          <t>JA</t>
        </is>
      </c>
      <c r="B5" s="15" t="inlineStr">
        <is>
          <t>Speaker</t>
        </is>
      </c>
      <c r="C5" s="15" t="inlineStr">
        <is>
          <t>Focal IW T3Y 200</t>
        </is>
      </c>
      <c r="D5" s="180" t="n">
        <v>1</v>
      </c>
      <c r="E5" s="181" t="n">
        <v>459</v>
      </c>
      <c r="F5" s="173">
        <f>D5*E5</f>
        <v/>
      </c>
      <c r="G5" s="53" t="inlineStr">
        <is>
          <t>Front woofer-set</t>
        </is>
      </c>
      <c r="H5" s="29" t="inlineStr">
        <is>
          <t>Offerte</t>
        </is>
      </c>
      <c r="I5" s="52" t="n">
        <v>314.1</v>
      </c>
      <c r="J5" s="173">
        <f>F5-I5</f>
        <v/>
      </c>
      <c r="K5" s="15" t="inlineStr">
        <is>
          <t>CURRENT INDEXED</t>
        </is>
      </c>
      <c r="L5" s="44" t="inlineStr">
        <is>
          <t>https://mbcaraudio.nl/autospecifieke-pasklare-speakersets/focal-iw-t3y-200.html</t>
        </is>
      </c>
      <c r="M5" s="49" t="inlineStr">
        <is>
          <t>Highland product family</t>
        </is>
      </c>
      <c r="N5" s="15" t="inlineStr">
        <is>
          <t>2 × 200 mm woofers</t>
        </is>
      </c>
    </row>
    <row r="6" ht="42" customHeight="1">
      <c r="A6" s="15" t="inlineStr">
        <is>
          <t>JA</t>
        </is>
      </c>
      <c r="B6" s="15" t="inlineStr">
        <is>
          <t>Speaker</t>
        </is>
      </c>
      <c r="C6" s="15" t="inlineStr">
        <is>
          <t>Focal ICC T3Y 100</t>
        </is>
      </c>
      <c r="D6" s="180" t="n">
        <v>1</v>
      </c>
      <c r="E6" s="181" t="n">
        <v>179</v>
      </c>
      <c r="F6" s="173">
        <f>D6*E6</f>
        <v/>
      </c>
      <c r="G6" s="53" t="inlineStr">
        <is>
          <t>Dashboard center</t>
        </is>
      </c>
      <c r="H6" s="29" t="inlineStr">
        <is>
          <t>Offerte</t>
        </is>
      </c>
      <c r="I6" s="52" t="n">
        <v>129</v>
      </c>
      <c r="J6" s="173">
        <f>F6-I6</f>
        <v/>
      </c>
      <c r="K6" s="15" t="inlineStr">
        <is>
          <t>CURRENT/FR</t>
        </is>
      </c>
      <c r="L6" s="44" t="inlineStr">
        <is>
          <t>https://mbcaraudio.nl/autospecifieke-pasklare-speakersets/focal-icc-t3y-100.html</t>
        </is>
      </c>
      <c r="M6" s="49" t="inlineStr">
        <is>
          <t>Highland center</t>
        </is>
      </c>
      <c r="N6" s="15" t="inlineStr">
        <is>
          <t>Niet verwarren met de te verwijderen upper/headliner immersive posities</t>
        </is>
      </c>
    </row>
    <row r="7" ht="42" customHeight="1">
      <c r="A7" s="15" t="inlineStr">
        <is>
          <t>JA</t>
        </is>
      </c>
      <c r="B7" s="15" t="inlineStr">
        <is>
          <t>Speaker</t>
        </is>
      </c>
      <c r="C7" s="15" t="inlineStr">
        <is>
          <t>Focal IC T3Y 100</t>
        </is>
      </c>
      <c r="D7" s="180" t="n">
        <v>1</v>
      </c>
      <c r="E7" s="181" t="n">
        <v>319</v>
      </c>
      <c r="F7" s="173">
        <f>D7*E7</f>
        <v/>
      </c>
      <c r="G7" s="53" t="inlineStr">
        <is>
          <t>Rear / coaxial set</t>
        </is>
      </c>
      <c r="H7" s="29" t="inlineStr">
        <is>
          <t>Offerte</t>
        </is>
      </c>
      <c r="I7" s="52" t="n">
        <v>219</v>
      </c>
      <c r="J7" s="173">
        <f>F7-I7</f>
        <v/>
      </c>
      <c r="K7" s="15" t="inlineStr">
        <is>
          <t>CURRENT INDEXED</t>
        </is>
      </c>
      <c r="L7" s="44" t="inlineStr">
        <is>
          <t>https://mbcaraudio.nl/autospecifieke-pasklare-speakersets/focal-ic-t3y-100.html</t>
        </is>
      </c>
      <c r="M7" s="49" t="inlineStr">
        <is>
          <t>Highland product family</t>
        </is>
      </c>
      <c r="N7" s="15" t="inlineStr">
        <is>
          <t>2-way coaxial kit</t>
        </is>
      </c>
    </row>
    <row r="8" ht="42" customHeight="1">
      <c r="A8" s="15" t="inlineStr">
        <is>
          <t>JA</t>
        </is>
      </c>
      <c r="B8" s="15" t="inlineStr">
        <is>
          <t>Speaker</t>
        </is>
      </c>
      <c r="C8" s="15" t="inlineStr">
        <is>
          <t>Focal IS T3Y 100</t>
        </is>
      </c>
      <c r="D8" s="180" t="n">
        <v>1</v>
      </c>
      <c r="E8" s="181" t="n">
        <v>369</v>
      </c>
      <c r="F8" s="173">
        <f>D8*E8</f>
        <v/>
      </c>
      <c r="G8" s="53" t="inlineStr">
        <is>
          <t>Front mids + tweeters</t>
        </is>
      </c>
      <c r="H8" s="29" t="inlineStr">
        <is>
          <t>Offerte</t>
        </is>
      </c>
      <c r="I8" s="52" t="n">
        <v>289</v>
      </c>
      <c r="J8" s="173">
        <f>F8-I8</f>
        <v/>
      </c>
      <c r="K8" s="15" t="inlineStr">
        <is>
          <t>CURRENT INDEXED</t>
        </is>
      </c>
      <c r="L8" s="44" t="inlineStr">
        <is>
          <t>https://mbcaraudio.nl/autospecifieke-pasklare-speakersets/focal-is-t3y-100.html</t>
        </is>
      </c>
      <c r="M8" s="49" t="inlineStr">
        <is>
          <t>Highland product family</t>
        </is>
      </c>
      <c r="N8" s="15" t="inlineStr">
        <is>
          <t>2-way component kit</t>
        </is>
      </c>
    </row>
    <row r="9" ht="42" customHeight="1">
      <c r="A9" s="15" t="inlineStr">
        <is>
          <t>JA</t>
        </is>
      </c>
      <c r="B9" s="15" t="inlineStr">
        <is>
          <t>Tesla harness</t>
        </is>
      </c>
      <c r="C9" s="15" t="inlineStr">
        <is>
          <t>MATCH PP-TES 1.7B Highland</t>
        </is>
      </c>
      <c r="D9" s="180" t="n">
        <v>1</v>
      </c>
      <c r="E9" s="181" t="n">
        <v>139.95</v>
      </c>
      <c r="F9" s="173">
        <f>D9*E9</f>
        <v/>
      </c>
      <c r="G9" s="53" t="inlineStr">
        <is>
          <t>Tesla signal interposer / harness basis</t>
        </is>
      </c>
      <c r="H9" s="29" t="inlineStr">
        <is>
          <t>Offerte</t>
        </is>
      </c>
      <c r="I9" s="52" t="n">
        <v>129</v>
      </c>
      <c r="J9" s="173">
        <f>F9-I9</f>
        <v/>
      </c>
      <c r="K9" s="15" t="inlineStr">
        <is>
          <t>CURRENT</t>
        </is>
      </c>
      <c r="L9" s="44" t="inlineStr">
        <is>
          <t>https://mbcaraudio.nl/autospecifieke-producten/mercedes-benz-autospecifieke-producten-en-accessoires/autospecifieke-versterker-audio-kabelbomen-mercedes-benz</t>
        </is>
      </c>
      <c r="M9" s="49" t="inlineStr">
        <is>
          <t>Officially MATCH UP10-specific</t>
        </is>
      </c>
      <c r="N9" s="15" t="inlineStr">
        <is>
          <t>Audison-side adaptation still must be engineered/confirmed</t>
        </is>
      </c>
    </row>
    <row r="10" ht="42" customHeight="1">
      <c r="A10" s="15" t="inlineStr">
        <is>
          <t>JA</t>
        </is>
      </c>
      <c r="B10" s="15" t="inlineStr">
        <is>
          <t>DSP amplifier</t>
        </is>
      </c>
      <c r="C10" s="15" t="inlineStr">
        <is>
          <t>Audison AF M8.14 bit</t>
        </is>
      </c>
      <c r="D10" s="180" t="n">
        <v>1</v>
      </c>
      <c r="E10" s="181" t="n">
        <v>1199</v>
      </c>
      <c r="F10" s="173">
        <f>D10*E10</f>
        <v/>
      </c>
      <c r="G10" s="53" t="inlineStr">
        <is>
          <t>Alles vóór de voorstoelen / front stage DSP + amplification</t>
        </is>
      </c>
      <c r="H10" s="29" t="inlineStr">
        <is>
          <t>MB telefonisch bevestigd</t>
        </is>
      </c>
      <c r="I10" s="52" t="n">
        <v>999</v>
      </c>
      <c r="J10" s="173">
        <f>F10-I10</f>
        <v/>
      </c>
      <c r="K10" s="15" t="inlineStr">
        <is>
          <t>CURRENT INDEXED</t>
        </is>
      </c>
      <c r="L10" s="44" t="inlineStr">
        <is>
          <t>https://www.autosound24.nl/producten/AUD-DSPAMP-AF-M8-14BIT</t>
        </is>
      </c>
      <c r="M10" s="49" t="inlineStr">
        <is>
          <t>Installer architecture</t>
        </is>
      </c>
      <c r="N10" s="15" t="inlineStr">
        <is>
          <t>8 amplified + 14 DSP processed channels</t>
        </is>
      </c>
    </row>
    <row r="11" ht="42" customHeight="1">
      <c r="A11" s="15" t="inlineStr">
        <is>
          <t>JA</t>
        </is>
      </c>
      <c r="B11" s="15" t="inlineStr">
        <is>
          <t>Rear amplifier</t>
        </is>
      </c>
      <c r="C11" s="15" t="inlineStr">
        <is>
          <t>Audison AF M4D</t>
        </is>
      </c>
      <c r="D11" s="180" t="n">
        <v>1</v>
      </c>
      <c r="E11" s="181" t="n">
        <v>599</v>
      </c>
      <c r="F11" s="173">
        <f>D11*E11</f>
        <v/>
      </c>
      <c r="G11" s="53" t="inlineStr">
        <is>
          <t>Alles achter de voorstoelen: rear woofers, rear mids, optionele rear tweeters</t>
        </is>
      </c>
      <c r="H11" s="29" t="inlineStr">
        <is>
          <t>MB telefonisch bevestigd</t>
        </is>
      </c>
      <c r="I11" s="52" t="n">
        <v>462.48</v>
      </c>
      <c r="J11" s="173">
        <f>F11-I11</f>
        <v/>
      </c>
      <c r="K11" s="15" t="inlineStr">
        <is>
          <t>CURRENT INDEXED</t>
        </is>
      </c>
      <c r="L11" s="44" t="inlineStr">
        <is>
          <t>https://audison.com/product/af-m4d/</t>
        </is>
      </c>
      <c r="M11" s="49" t="inlineStr">
        <is>
          <t>Installer architecture</t>
        </is>
      </c>
      <c r="N11" s="15" t="inlineStr">
        <is>
          <t>4-channel companion amplifier</t>
        </is>
      </c>
    </row>
    <row r="12" ht="42" customHeight="1">
      <c r="A12" s="19" t="inlineStr">
        <is>
          <t>JA</t>
        </is>
      </c>
      <c r="B12" s="15" t="inlineStr">
        <is>
          <t>Sub amplifier</t>
        </is>
      </c>
      <c r="C12" s="15" t="inlineStr">
        <is>
          <t>Audison AF M1D</t>
        </is>
      </c>
      <c r="D12" s="180" t="n">
        <v>1</v>
      </c>
      <c r="E12" s="181" t="n">
        <v>599</v>
      </c>
      <c r="F12" s="173">
        <f>D12*E12</f>
        <v/>
      </c>
      <c r="G12" s="53" t="inlineStr">
        <is>
          <t>Pioneer donor subwoofers</t>
        </is>
      </c>
      <c r="H12" s="29" t="inlineStr">
        <is>
          <t>Waarschijnlijk/bedoeld volgens gesprek; exact wiring nog verifiëren</t>
        </is>
      </c>
      <c r="I12" s="52" t="n">
        <v>595.9</v>
      </c>
      <c r="J12" s="173">
        <f>F12-I12</f>
        <v/>
      </c>
      <c r="K12" s="15" t="inlineStr">
        <is>
          <t>CURRENT INDEXED</t>
        </is>
      </c>
      <c r="L12" s="44" t="inlineStr">
        <is>
          <t>https://audison.com/product/af-m1d/</t>
        </is>
      </c>
      <c r="M12" s="49" t="inlineStr">
        <is>
          <t>CONDITIONAL</t>
        </is>
      </c>
      <c r="N12" s="15" t="inlineStr">
        <is>
          <t>Donor-driver impedance/load must be measured before final wiring</t>
        </is>
      </c>
    </row>
    <row r="13" ht="42" customHeight="1">
      <c r="A13" s="19" t="inlineStr">
        <is>
          <t>JA</t>
        </is>
      </c>
      <c r="B13" s="15" t="inlineStr">
        <is>
          <t>Interconnect</t>
        </is>
      </c>
      <c r="C13" s="15" t="inlineStr">
        <is>
          <t>Audison AF LINK</t>
        </is>
      </c>
      <c r="D13" s="180" t="n">
        <v>1</v>
      </c>
      <c r="E13" s="181" t="n">
        <v>18.95</v>
      </c>
      <c r="F13" s="173">
        <f>D13*E13</f>
        <v/>
      </c>
      <c r="G13" s="53" t="inlineStr">
        <is>
          <t>AF bit DSP OUT → AF D PRE IN</t>
        </is>
      </c>
      <c r="H13" s="29" t="inlineStr">
        <is>
          <t>Offerte</t>
        </is>
      </c>
      <c r="I13" s="52" t="n">
        <v>18.95</v>
      </c>
      <c r="J13" s="173">
        <f>F13-I13</f>
        <v/>
      </c>
      <c r="K13" s="15" t="inlineStr">
        <is>
          <t>CURRENT</t>
        </is>
      </c>
      <c r="L13" s="44" t="inlineStr">
        <is>
          <t>https://audison.com/collections/car-accessories/</t>
        </is>
      </c>
      <c r="M13" s="49" t="inlineStr">
        <is>
          <t>Compatible accessory</t>
        </is>
      </c>
      <c r="N13" s="15" t="inlineStr">
        <is>
          <t>Signal link cable</t>
        </is>
      </c>
    </row>
    <row r="14" ht="42" customHeight="1">
      <c r="A14" s="15" t="inlineStr">
        <is>
          <t>JA</t>
        </is>
      </c>
      <c r="B14" s="15" t="inlineStr">
        <is>
          <t>Controller</t>
        </is>
      </c>
      <c r="C14" s="15" t="inlineStr">
        <is>
          <t>Audison DRC AC</t>
        </is>
      </c>
      <c r="D14" s="180" t="n">
        <v>1</v>
      </c>
      <c r="E14" s="181" t="n">
        <v>129</v>
      </c>
      <c r="F14" s="173">
        <f>D14*E14</f>
        <v/>
      </c>
      <c r="G14" s="15" t="inlineStr">
        <is>
          <t>Master/sub/source/preset control</t>
        </is>
      </c>
      <c r="H14" s="15" t="inlineStr">
        <is>
          <t>Offerte</t>
        </is>
      </c>
      <c r="I14" s="52" t="n">
        <v>129</v>
      </c>
      <c r="J14" s="173">
        <f>F14-I14</f>
        <v/>
      </c>
      <c r="K14" s="15" t="inlineStr">
        <is>
          <t>CURRENT</t>
        </is>
      </c>
      <c r="L14" s="44" t="inlineStr">
        <is>
          <t>https://mbcaraudio.nl/bass-controls/audison-drc-ac.html</t>
        </is>
      </c>
      <c r="M14" s="15" t="inlineStr">
        <is>
          <t>Compatible with AF bit</t>
        </is>
      </c>
      <c r="N14" s="15" t="inlineStr">
        <is>
          <t>Compact DRCC remote</t>
        </is>
      </c>
    </row>
    <row r="15" ht="42" customHeight="1">
      <c r="A15" s="59" t="n"/>
      <c r="B15" s="15" t="n"/>
      <c r="C15" s="15" t="n"/>
      <c r="D15" s="15" t="n"/>
      <c r="E15" s="15" t="n"/>
      <c r="F15" s="15" t="n"/>
      <c r="G15" s="15" t="n"/>
      <c r="H15" s="15" t="n"/>
      <c r="I15" s="15" t="n"/>
      <c r="J15" s="15" t="n"/>
      <c r="K15" s="15" t="n"/>
      <c r="L15" s="15" t="n"/>
      <c r="M15" s="15" t="n"/>
      <c r="N15" s="15" t="n"/>
    </row>
    <row r="16" ht="42" customHeight="1">
      <c r="A16" s="182" t="inlineStr">
        <is>
          <t>MB hardware total</t>
        </is>
      </c>
      <c r="B16" s="183">
        <f>SUM(F5:F14)</f>
        <v/>
      </c>
      <c r="C16" s="41" t="inlineStr">
        <is>
          <t>Received quote total, should equal €4.010,90</t>
        </is>
      </c>
      <c r="D16" s="15" t="n"/>
      <c r="E16" s="15" t="n"/>
      <c r="F16" s="15" t="n"/>
      <c r="G16" s="15" t="n"/>
      <c r="H16" s="15" t="n"/>
      <c r="I16" s="15" t="n"/>
      <c r="J16" s="15" t="n"/>
      <c r="K16" s="15" t="n"/>
      <c r="L16" s="15" t="n"/>
      <c r="M16" s="15" t="n"/>
      <c r="N16" s="15" t="n"/>
    </row>
    <row r="17" ht="42" customHeight="1">
      <c r="A17" s="182" t="inlineStr">
        <is>
          <t>Split-buy low-price basket</t>
        </is>
      </c>
      <c r="B17" s="183">
        <f>SUM(I5:I14)</f>
        <v/>
      </c>
      <c r="C17" s="41" t="inlineStr">
        <is>
          <t>Lowest currently indexed/verified unit price used; shipping/transaction costs excluded</t>
        </is>
      </c>
      <c r="D17" s="15" t="n"/>
      <c r="E17" s="15" t="n"/>
      <c r="F17" s="15" t="n"/>
      <c r="G17" s="15" t="n"/>
      <c r="H17" s="15" t="n"/>
      <c r="I17" s="15" t="n"/>
      <c r="J17" s="15" t="n"/>
      <c r="K17" s="15" t="n"/>
      <c r="L17" s="15" t="n"/>
      <c r="M17" s="15" t="n"/>
      <c r="N17" s="15" t="n"/>
    </row>
    <row r="18" ht="42" customHeight="1">
      <c r="A18" s="182" t="inlineStr">
        <is>
          <t>Potential gross saving</t>
        </is>
      </c>
      <c r="B18" s="183">
        <f>B16-B17</f>
        <v/>
      </c>
      <c r="C18" s="41" t="inlineStr">
        <is>
          <t>Before shipping and stock/checkout verification</t>
        </is>
      </c>
      <c r="D18" s="15" t="n"/>
      <c r="E18" s="15" t="n"/>
      <c r="F18" s="15" t="n"/>
      <c r="G18" s="15" t="n"/>
      <c r="H18" s="15" t="n"/>
      <c r="I18" s="15" t="n"/>
      <c r="J18" s="15" t="n"/>
      <c r="K18" s="15" t="n"/>
      <c r="L18" s="15" t="n"/>
      <c r="M18" s="15" t="n"/>
      <c r="N18" s="15" t="n"/>
    </row>
    <row r="19" ht="42" customHeight="1">
      <c r="A19" s="184" t="inlineStr">
        <is>
          <t>Potential gross saving %</t>
        </is>
      </c>
      <c r="B19" s="185">
        <f>B18/B16</f>
        <v/>
      </c>
      <c r="C19" s="41" t="inlineStr">
        <is>
          <t>Before shipping and stock/checkout verification</t>
        </is>
      </c>
    </row>
    <row r="20" ht="42" customHeight="1"/>
    <row r="21" ht="42" customHeight="1">
      <c r="A21" s="178" t="inlineStr">
        <is>
          <t>Critical scope note</t>
        </is>
      </c>
      <c r="B21" s="42" t="inlineStr">
        <is>
          <t>No cabling, damping, fusing/distribution, mounting materials or labour included. User performs installation.</t>
        </is>
      </c>
    </row>
  </sheetData>
  <autoFilter ref="A4:N14"/>
  <mergeCells count="3">
    <mergeCell ref="B21:N21"/>
    <mergeCell ref="A2:N2"/>
    <mergeCell ref="A1:N1"/>
  </mergeCells>
  <hyperlinks>
    <hyperlink xmlns:r="http://schemas.openxmlformats.org/officeDocument/2006/relationships" ref="L5" r:id="rId1"/>
    <hyperlink xmlns:r="http://schemas.openxmlformats.org/officeDocument/2006/relationships" ref="M5" r:id="rId2"/>
    <hyperlink xmlns:r="http://schemas.openxmlformats.org/officeDocument/2006/relationships" ref="L6" r:id="rId3"/>
    <hyperlink xmlns:r="http://schemas.openxmlformats.org/officeDocument/2006/relationships" ref="M6" r:id="rId4"/>
    <hyperlink xmlns:r="http://schemas.openxmlformats.org/officeDocument/2006/relationships" ref="L7" r:id="rId5"/>
    <hyperlink xmlns:r="http://schemas.openxmlformats.org/officeDocument/2006/relationships" ref="M7" r:id="rId6"/>
    <hyperlink xmlns:r="http://schemas.openxmlformats.org/officeDocument/2006/relationships" ref="L8" r:id="rId7"/>
    <hyperlink xmlns:r="http://schemas.openxmlformats.org/officeDocument/2006/relationships" ref="M8" r:id="rId8"/>
    <hyperlink xmlns:r="http://schemas.openxmlformats.org/officeDocument/2006/relationships" ref="L9" r:id="rId9"/>
    <hyperlink xmlns:r="http://schemas.openxmlformats.org/officeDocument/2006/relationships" ref="M9" r:id="rId10"/>
    <hyperlink xmlns:r="http://schemas.openxmlformats.org/officeDocument/2006/relationships" ref="L10" r:id="rId11"/>
    <hyperlink xmlns:r="http://schemas.openxmlformats.org/officeDocument/2006/relationships" ref="M10" r:id="rId12"/>
    <hyperlink xmlns:r="http://schemas.openxmlformats.org/officeDocument/2006/relationships" ref="L11" r:id="rId13"/>
    <hyperlink xmlns:r="http://schemas.openxmlformats.org/officeDocument/2006/relationships" ref="M11" r:id="rId14"/>
    <hyperlink xmlns:r="http://schemas.openxmlformats.org/officeDocument/2006/relationships" ref="L12" r:id="rId15"/>
    <hyperlink xmlns:r="http://schemas.openxmlformats.org/officeDocument/2006/relationships" ref="M12" r:id="rId16"/>
    <hyperlink xmlns:r="http://schemas.openxmlformats.org/officeDocument/2006/relationships" ref="L13" r:id="rId17"/>
    <hyperlink xmlns:r="http://schemas.openxmlformats.org/officeDocument/2006/relationships" ref="M13" r:id="rId18"/>
    <hyperlink xmlns:r="http://schemas.openxmlformats.org/officeDocument/2006/relationships" ref="L14" r:id="rId19"/>
  </hyperlinks>
  <pageMargins left="0.25" right="0.25" top="0.5" bottom="0.5" header="0.5" footer="0.5"/>
  <pageSetup fitToHeight="0" fitToWidth="1"/>
</worksheet>
</file>

<file path=xl/worksheets/sheet28.xml><?xml version="1.0" encoding="utf-8"?>
<worksheet xmlns="http://schemas.openxmlformats.org/spreadsheetml/2006/main">
  <sheetPr>
    <outlinePr summaryBelow="1" summaryRight="1"/>
    <pageSetUpPr fitToPage="1"/>
  </sheetPr>
  <dimension ref="A1:R18"/>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14" customWidth="1" min="3" max="3"/>
    <col width="18" customWidth="1" min="4" max="4"/>
    <col width="14" customWidth="1" min="5" max="5"/>
    <col width="14" customWidth="1" min="6" max="6"/>
    <col width="9" customWidth="1" min="7" max="7"/>
    <col width="15" customWidth="1" min="8" max="8"/>
    <col width="15" customWidth="1" min="9" max="9"/>
    <col width="15" customWidth="1" min="10" max="10"/>
    <col width="70" customWidth="1" min="11" max="11"/>
    <col width="47" customWidth="1" min="12" max="12"/>
    <col width="16" customWidth="1" min="13" max="13"/>
    <col width="16" customWidth="1" min="14" max="14"/>
    <col width="16" customWidth="1" min="15" max="15"/>
    <col width="32" customWidth="1" min="16" max="16"/>
    <col width="52" customWidth="1" min="17" max="17"/>
    <col width="70" customWidth="1" min="18" max="18"/>
  </cols>
  <sheetData>
    <row r="1" ht="26" customHeight="1">
      <c r="A1" s="50" t="inlineStr">
        <is>
          <t>MBCaraudio vs Duitsland / Frankrijk – onderhandelingsbenchmark</t>
        </is>
      </c>
    </row>
    <row r="2" ht="42" customHeight="1">
      <c r="A2" s="51" t="inlineStr">
        <is>
          <t>MBCaraudio blijft de voorkeursleverancier voor één aanspreekpunt, garantie en fitmentadvies. Buitenlandse prijzen zijn benchmarkprijzen; verzendkosten, actueel checkout-totaal en SOP9-fitment altijd verifiëren.</t>
        </is>
      </c>
    </row>
    <row r="4" ht="30" customHeight="1">
      <c r="A4" s="14" t="inlineStr">
        <is>
          <t>Product</t>
        </is>
      </c>
      <c r="B4" s="14" t="inlineStr">
        <is>
          <t>MBC NL</t>
        </is>
      </c>
      <c r="C4" s="14" t="inlineStr">
        <is>
          <t>DE benchmark</t>
        </is>
      </c>
      <c r="D4" s="14" t="inlineStr">
        <is>
          <t>FR benchmark / MSRP</t>
        </is>
      </c>
      <c r="E4" s="14" t="inlineStr">
        <is>
          <t>MBC vs DE</t>
        </is>
      </c>
      <c r="F4" s="14" t="inlineStr">
        <is>
          <t>MBC vs FR</t>
        </is>
      </c>
      <c r="G4" s="14" t="inlineStr">
        <is>
          <t>Aantal</t>
        </is>
      </c>
      <c r="H4" s="14" t="inlineStr">
        <is>
          <t>MBC totaal</t>
        </is>
      </c>
      <c r="I4" s="14" t="inlineStr">
        <is>
          <t>DE totaal</t>
        </is>
      </c>
      <c r="J4" s="14" t="inlineStr">
        <is>
          <t>FR totaal</t>
        </is>
      </c>
      <c r="K4" s="14" t="inlineStr">
        <is>
          <t>Bronnen</t>
        </is>
      </c>
      <c r="L4" s="14" t="inlineStr">
        <is>
          <t>Opmerking</t>
        </is>
      </c>
      <c r="M4" s="63" t="inlineStr">
        <is>
          <t>US current USD</t>
        </is>
      </c>
      <c r="N4" s="63" t="inlineStr">
        <is>
          <t>US EUR ex VAT</t>
        </is>
      </c>
      <c r="O4" s="63" t="inlineStr">
        <is>
          <t>US +21% VAT</t>
        </is>
      </c>
      <c r="P4" s="63" t="inlineStr">
        <is>
          <t>US review/source</t>
        </is>
      </c>
      <c r="Q4" s="63" t="inlineStr">
        <is>
          <t>China/direct import status</t>
        </is>
      </c>
      <c r="R4" s="63" t="inlineStr">
        <is>
          <t>China source</t>
        </is>
      </c>
    </row>
    <row r="5">
      <c r="A5" s="15" t="inlineStr">
        <is>
          <t>Focal IW T3Y 200</t>
        </is>
      </c>
      <c r="B5" s="52" t="n">
        <v>459</v>
      </c>
      <c r="C5" s="29" t="n">
        <v>359</v>
      </c>
      <c r="D5" s="29" t="n">
        <v>369</v>
      </c>
      <c r="E5" s="29">
        <f>IF(C5="","",B5-C5)</f>
        <v/>
      </c>
      <c r="F5" s="29">
        <f>IF(D5="","",B5-D5)</f>
        <v/>
      </c>
      <c r="G5" s="15" t="n">
        <v>1</v>
      </c>
      <c r="H5" s="29">
        <f>B5*G5</f>
        <v/>
      </c>
      <c r="I5" s="29">
        <f>IF(C5="","",C5*G5)</f>
        <v/>
      </c>
      <c r="J5" s="29">
        <f>IF(D5="","",D5*G5)</f>
        <v/>
      </c>
      <c r="K5" s="15" t="inlineStr">
        <is>
          <t>https://mbcaraudio.nl/autospecifieke-pasklare-speakersets/focal-iw-t3y-200.html | https://www.idealo.de/preisvergleich/OffersOfProduct/204855028_-iw-t3y-200-focal.html | https://www.focal.com/fr/produits/iw-t3y-200</t>
        </is>
      </c>
      <c r="L5" s="15" t="inlineStr">
        <is>
          <t>DE Idealo €359; FR official suggested retail €369</t>
        </is>
      </c>
      <c r="M5" s="32" t="n">
        <v>1049.99</v>
      </c>
      <c r="N5" s="65">
        <f>M5*$B$17</f>
        <v/>
      </c>
      <c r="O5" s="65">
        <f>N5*(1+$B$18)</f>
        <v/>
      </c>
      <c r="P5" s="15" t="inlineStr">
        <is>
          <t>5/5 (3) Crutchfield</t>
        </is>
      </c>
      <c r="Q5" s="15" t="inlineStr">
        <is>
          <t>Geen betrouwbare genuine Focal T3Y China-retailprijs gevonden; generieke Tesla kits zijn niet like-for-like en hebben counterfeit/fitmentrisico.</t>
        </is>
      </c>
      <c r="R5" s="15" t="inlineStr">
        <is>
          <t>https://bhyiming.en.made-in-china.com/product/IdetXGaKEOcp/China-Manufacturer-Plug-and-Play-System-Woofer-for-Tesla-Model-3-High-Sound-Quality-8-Inch-Car-Accesssories-Car-Audio-Subwoofers.html</t>
        </is>
      </c>
    </row>
    <row r="6">
      <c r="A6" s="15" t="inlineStr">
        <is>
          <t>Focal IS T3Y 100</t>
        </is>
      </c>
      <c r="B6" s="52" t="n">
        <v>369</v>
      </c>
      <c r="C6" s="29" t="n">
        <v>289</v>
      </c>
      <c r="D6" s="29" t="n">
        <v>299</v>
      </c>
      <c r="E6" s="29">
        <f>IF(C6="","",B6-C6)</f>
        <v/>
      </c>
      <c r="F6" s="29">
        <f>IF(D6="","",B6-D6)</f>
        <v/>
      </c>
      <c r="G6" s="15" t="n">
        <v>1</v>
      </c>
      <c r="H6" s="29">
        <f>B6*G6</f>
        <v/>
      </c>
      <c r="I6" s="29">
        <f>IF(C6="","",C6*G6)</f>
        <v/>
      </c>
      <c r="J6" s="29">
        <f>IF(D6="","",D6*G6)</f>
        <v/>
      </c>
      <c r="K6" s="15" t="inlineStr">
        <is>
          <t>https://mbcaraudio.nl/autospecifieke-pasklare-speakersets/focal-is-t3y-100.html | https://www.idealo.de/preisvergleich/Liste/123511081/focal-t3y.html | https://www.focal.com/fr/produits/is-t3y-100</t>
        </is>
      </c>
      <c r="L6" s="15" t="inlineStr">
        <is>
          <t>DE Idealo list vanaf €289; FR official suggested retail €299</t>
        </is>
      </c>
      <c r="M6" s="32" t="n">
        <v>719.99</v>
      </c>
      <c r="N6" s="65">
        <f>M6*$B$17</f>
        <v/>
      </c>
      <c r="O6" s="65">
        <f>N6*(1+$B$18)</f>
        <v/>
      </c>
      <c r="P6" s="15" t="inlineStr">
        <is>
          <t>5/5 (2) Crutchfield</t>
        </is>
      </c>
      <c r="Q6" s="15" t="inlineStr">
        <is>
          <t>Geen betrouwbare genuine Focal T3Y China-retailprijs gevonden; generieke Tesla kits zijn niet like-for-like en hebben counterfeit/fitmentrisico.</t>
        </is>
      </c>
      <c r="R6" s="15" t="inlineStr">
        <is>
          <t>https://bhyiming.en.made-in-china.com/product/IdetXGaKEOcp/China-Manufacturer-Plug-and-Play-System-Woofer-for-Tesla-Model-3-High-Sound-Quality-8-Inch-Car-Accesssories-Car-Audio-Subwoofers.html</t>
        </is>
      </c>
    </row>
    <row r="7">
      <c r="A7" s="15" t="inlineStr">
        <is>
          <t>Focal ICC T3Y 100</t>
        </is>
      </c>
      <c r="B7" s="52" t="n">
        <v>179</v>
      </c>
      <c r="C7" s="29" t="n">
        <v>149</v>
      </c>
      <c r="D7" s="29" t="n">
        <v>129</v>
      </c>
      <c r="E7" s="29">
        <f>IF(C7="","",B7-C7)</f>
        <v/>
      </c>
      <c r="F7" s="29">
        <f>IF(D7="","",B7-D7)</f>
        <v/>
      </c>
      <c r="G7" s="15" t="n">
        <v>1</v>
      </c>
      <c r="H7" s="29">
        <f>B7*G7</f>
        <v/>
      </c>
      <c r="I7" s="29">
        <f>IF(C7="","",C7*G7)</f>
        <v/>
      </c>
      <c r="J7" s="29">
        <f>IF(D7="","",D7*G7)</f>
        <v/>
      </c>
      <c r="K7" s="15" t="inlineStr">
        <is>
          <t>https://mbcaraudio.nl/autospecifieke-pasklare-speakersets/focal-icc-t3y-100.html | https://www.idealo.de/preisvergleich/OffersOfProduct/204855027_-inside-icc-t3y-100-focal.html | https://www.focal.com/fr/produits/icc-t3y-100</t>
        </is>
      </c>
      <c r="L7" s="15" t="inlineStr">
        <is>
          <t>FR MSRP is lower; dealer availability/shipping verify</t>
        </is>
      </c>
      <c r="M7" s="32" t="n">
        <v>369.99</v>
      </c>
      <c r="N7" s="65">
        <f>M7*$B$17</f>
        <v/>
      </c>
      <c r="O7" s="65">
        <f>N7*(1+$B$18)</f>
        <v/>
      </c>
      <c r="P7" s="15" t="inlineStr">
        <is>
          <t>3/5 (1) Crutchfield</t>
        </is>
      </c>
      <c r="Q7" s="15" t="inlineStr">
        <is>
          <t>Geen betrouwbare genuine Focal T3Y China-retailprijs gevonden; generieke Tesla kits zijn niet like-for-like en hebben counterfeit/fitmentrisico.</t>
        </is>
      </c>
      <c r="R7" s="15" t="inlineStr">
        <is>
          <t>https://bhyiming.en.made-in-china.com/product/IdetXGaKEOcp/China-Manufacturer-Plug-and-Play-System-Woofer-for-Tesla-Model-3-High-Sound-Quality-8-Inch-Car-Accesssories-Car-Audio-Subwoofers.html</t>
        </is>
      </c>
    </row>
    <row r="8">
      <c r="A8" s="15" t="inlineStr">
        <is>
          <t>Focal IC T3Y 100</t>
        </is>
      </c>
      <c r="B8" s="52" t="n">
        <v>319</v>
      </c>
      <c r="C8" s="29" t="n">
        <v>229</v>
      </c>
      <c r="D8" s="29" t="n">
        <v>229</v>
      </c>
      <c r="E8" s="29">
        <f>IF(C8="","",B8-C8)</f>
        <v/>
      </c>
      <c r="F8" s="29">
        <f>IF(D8="","",B8-D8)</f>
        <v/>
      </c>
      <c r="G8" s="15" t="n">
        <v>2</v>
      </c>
      <c r="H8" s="29">
        <f>B8*G8</f>
        <v/>
      </c>
      <c r="I8" s="29">
        <f>IF(C8="","",C8*G8)</f>
        <v/>
      </c>
      <c r="J8" s="29">
        <f>IF(D8="","",D8*G8)</f>
        <v/>
      </c>
      <c r="K8" s="15" t="inlineStr">
        <is>
          <t>https://mbcaraudio.nl/autospecifieke-pasklare-speakersets/focal-ic-t3y-100.html | https://www.idealo.de/preisvergleich/OffersOfProduct/204105665_-ic-t3y-100-focal.html | https://www.focal.com/fr/produits/ic-t3y-100</t>
        </is>
      </c>
      <c r="L8" s="15" t="inlineStr">
        <is>
          <t>Qty 2 sets</t>
        </is>
      </c>
      <c r="M8" s="32" t="n">
        <v>629.99</v>
      </c>
      <c r="N8" s="65">
        <f>M8*$B$17</f>
        <v/>
      </c>
      <c r="O8" s="65">
        <f>N8*(1+$B$18)</f>
        <v/>
      </c>
      <c r="P8" s="15" t="inlineStr">
        <is>
          <t>No reviews; price per pair</t>
        </is>
      </c>
      <c r="Q8" s="15" t="inlineStr">
        <is>
          <t>Geen betrouwbare genuine Focal T3Y China-retailprijs gevonden; generieke Tesla kits zijn niet like-for-like en hebben counterfeit/fitmentrisico.</t>
        </is>
      </c>
      <c r="R8" s="15" t="inlineStr">
        <is>
          <t>https://bhyiming.en.made-in-china.com/product/IdetXGaKEOcp/China-Manufacturer-Plug-and-Play-System-Woofer-for-Tesla-Model-3-High-Sound-Quality-8-Inch-Car-Accesssories-Car-Audio-Subwoofers.html</t>
        </is>
      </c>
    </row>
    <row r="9">
      <c r="A9" s="15" t="inlineStr">
        <is>
          <t>Audison AF M12.14 bit</t>
        </is>
      </c>
      <c r="B9" s="52" t="n">
        <v>1349</v>
      </c>
      <c r="C9" s="29" t="n">
        <v>1205.9</v>
      </c>
      <c r="D9" s="29" t="n">
        <v>1290</v>
      </c>
      <c r="E9" s="29">
        <f>IF(C9="","",B9-C9)</f>
        <v/>
      </c>
      <c r="F9" s="29">
        <f>IF(D9="","",B9-D9)</f>
        <v/>
      </c>
      <c r="G9" s="15" t="n">
        <v>1</v>
      </c>
      <c r="H9" s="29">
        <f>B9*G9</f>
        <v/>
      </c>
      <c r="I9" s="29">
        <f>IF(C9="","",C9*G9)</f>
        <v/>
      </c>
      <c r="J9" s="29">
        <f>IF(D9="","",D9*G9)</f>
        <v/>
      </c>
      <c r="K9" s="15" t="inlineStr">
        <is>
          <t>https://mbcaraudio.nl/10-12-16-en-18-kanaals/audison-af-m1214-bit.html | https://www.idealo.de/preisvergleich/OffersOfProduct/203736270_-af-m12-14-bit-audison.html | https://store.elettromedia.com/af-m12-14-bit/</t>
        </is>
      </c>
      <c r="L9" s="15" t="inlineStr">
        <is>
          <t>MBC offers 5-year Audison warranty</t>
        </is>
      </c>
      <c r="M9" s="66" t="n"/>
      <c r="N9" s="67" t="n"/>
      <c r="O9" s="67" t="n"/>
      <c r="Q9" s="15" t="inlineStr">
        <is>
          <t>Niet gebruikt voor aankoopadvies; MBC/EU heeft voorkeur wegens garantie, support en integratie.</t>
        </is>
      </c>
    </row>
    <row r="10">
      <c r="A10" s="15" t="inlineStr">
        <is>
          <t>Audison DRC MP CAN</t>
        </is>
      </c>
      <c r="B10" s="52" t="n">
        <v>179</v>
      </c>
      <c r="C10" s="29" t="n"/>
      <c r="D10" s="29" t="n"/>
      <c r="E10" s="29">
        <f>IF(C10="","",B10-C10)</f>
        <v/>
      </c>
      <c r="F10" s="29">
        <f>IF(D10="","",B10-D10)</f>
        <v/>
      </c>
      <c r="G10" s="15" t="n">
        <v>1</v>
      </c>
      <c r="H10" s="29">
        <f>B10*G10</f>
        <v/>
      </c>
      <c r="I10" s="29">
        <f>IF(C10="","",C10*G10)</f>
        <v/>
      </c>
      <c r="J10" s="29">
        <f>IF(D10="","",D10*G10)</f>
        <v/>
      </c>
      <c r="K10" s="49" t="inlineStr">
        <is>
          <t>https://mbcaraudio.nl/bass-controls/audison-drc-mp-can.html</t>
        </is>
      </c>
      <c r="L10" s="15" t="inlineStr">
        <is>
          <t>Keep MBC unless a verified EU saving is material</t>
        </is>
      </c>
      <c r="M10" s="66" t="n"/>
      <c r="N10" s="67" t="n"/>
      <c r="O10" s="67" t="n"/>
      <c r="Q10" s="15" t="inlineStr">
        <is>
          <t>Niet gebruikt voor aankoopadvies; MBC/EU heeft voorkeur wegens garantie, support en integratie.</t>
        </is>
      </c>
    </row>
    <row r="11">
      <c r="A11" s="15" t="inlineStr">
        <is>
          <t>MATCH PP-TES-1.7B RYZEN</t>
        </is>
      </c>
      <c r="B11" s="52" t="n">
        <v>129</v>
      </c>
      <c r="C11" s="29" t="n"/>
      <c r="D11" s="29" t="n"/>
      <c r="E11" s="29">
        <f>IF(C11="","",B11-C11)</f>
        <v/>
      </c>
      <c r="F11" s="29">
        <f>IF(D11="","",B11-D11)</f>
        <v/>
      </c>
      <c r="G11" s="15" t="n">
        <v>1</v>
      </c>
      <c r="H11" s="29">
        <f>B11*G11</f>
        <v/>
      </c>
      <c r="I11" s="29">
        <f>IF(C11="","",C11*G11)</f>
        <v/>
      </c>
      <c r="J11" s="29">
        <f>IF(D11="","",D11*G11)</f>
        <v/>
      </c>
      <c r="K11" s="49" t="inlineStr">
        <is>
          <t>https://mbcaraudio.nl/autospecifieke-producten/tesla-autospecifieke-producten-en-accessoires/automodel-typenummer-en-bouwjaar-selectie-tesla/tesla-model-3-facelift-bouwjaar-2023-</t>
        </is>
      </c>
      <c r="L11" s="15" t="inlineStr">
        <is>
          <t>MBC price used; exact Audison integration must be confirmed</t>
        </is>
      </c>
      <c r="M11" s="66" t="n"/>
      <c r="N11" s="67" t="n"/>
      <c r="O11" s="67" t="n"/>
      <c r="Q11" s="15" t="inlineStr">
        <is>
          <t>Niet gebruikt voor aankoopadvies; MBC/EU heeft voorkeur wegens garantie, support en integratie.</t>
        </is>
      </c>
    </row>
    <row r="12">
      <c r="M12" s="66" t="n"/>
      <c r="N12" s="67" t="n"/>
      <c r="O12" s="67" t="n"/>
    </row>
    <row r="13">
      <c r="A13" s="59" t="inlineStr">
        <is>
          <t>Speaker subtotal (Focal core)</t>
        </is>
      </c>
      <c r="B13" s="15" t="n"/>
      <c r="C13" s="15" t="n"/>
      <c r="D13" s="15" t="n"/>
      <c r="E13" s="29" t="n"/>
      <c r="F13" s="29" t="n"/>
      <c r="G13" s="15" t="n"/>
      <c r="H13" s="29">
        <f>SUM(H5:H8)</f>
        <v/>
      </c>
      <c r="I13" s="29">
        <f>SUM(I5:I8)</f>
        <v/>
      </c>
      <c r="J13" s="29">
        <f>SUM(J5:J8)</f>
        <v/>
      </c>
      <c r="K13" s="15" t="n"/>
      <c r="L13" s="15" t="n"/>
      <c r="M13" s="32" t="inlineStr">
        <is>
          <t>US speaker subtotal USD</t>
        </is>
      </c>
      <c r="N13" s="32">
        <f>SUM(M5:M8)</f>
        <v/>
      </c>
      <c r="O13" s="65">
        <f>SUM(O5:O8)</f>
        <v/>
      </c>
      <c r="P13" s="15" t="inlineStr">
        <is>
          <t>US incl. 21% import-VAT before shipping/duty</t>
        </is>
      </c>
    </row>
    <row r="14">
      <c r="A14" s="59" t="inlineStr">
        <is>
          <t>Focal MBC premium vs DE</t>
        </is>
      </c>
      <c r="B14" s="15" t="n"/>
      <c r="C14" s="15" t="n"/>
      <c r="D14" s="15" t="n"/>
      <c r="E14" s="29">
        <f>H13-I13</f>
        <v/>
      </c>
      <c r="F14" s="29" t="n"/>
      <c r="G14" s="15" t="n"/>
      <c r="H14" s="29" t="n"/>
      <c r="I14" s="29" t="n"/>
      <c r="J14" s="29" t="n"/>
      <c r="K14" s="15" t="n"/>
      <c r="L14" s="15" t="n"/>
      <c r="M14" s="32" t="inlineStr">
        <is>
          <t>MBC saving vs US incl VAT</t>
        </is>
      </c>
      <c r="N14" s="65" t="n"/>
      <c r="O14" s="65">
        <f>O13-H13</f>
        <v/>
      </c>
      <c r="P14" s="15" t="inlineStr">
        <is>
          <t>Positive value = MBC cheaper before US shipping/duty.</t>
        </is>
      </c>
    </row>
    <row r="15">
      <c r="A15" s="59" t="inlineStr">
        <is>
          <t>Focal MBC premium vs FR MSRP</t>
        </is>
      </c>
      <c r="B15" s="15" t="n"/>
      <c r="C15" s="15" t="n"/>
      <c r="D15" s="15" t="n"/>
      <c r="E15" s="29" t="n"/>
      <c r="F15" s="29">
        <f>H13-J13</f>
        <v/>
      </c>
      <c r="G15" s="15" t="n"/>
      <c r="H15" s="29" t="n"/>
      <c r="I15" s="29" t="n"/>
      <c r="J15" s="29" t="n"/>
      <c r="K15" s="15" t="n"/>
      <c r="L15" s="15" t="n"/>
    </row>
    <row r="17">
      <c r="A17" s="41" t="inlineStr">
        <is>
          <t>USD→EUR koers</t>
        </is>
      </c>
      <c r="B17" s="68">
        <f>Overview!B10</f>
        <v/>
      </c>
    </row>
    <row r="18">
      <c r="A18" s="41" t="inlineStr">
        <is>
          <t>Indicatieve NL import-BTW</t>
        </is>
      </c>
      <c r="B18" s="69" t="n">
        <v>0.21</v>
      </c>
    </row>
  </sheetData>
  <mergeCells count="2">
    <mergeCell ref="A2:R2"/>
    <mergeCell ref="A1:R1"/>
  </mergeCells>
  <hyperlinks>
    <hyperlink xmlns:r="http://schemas.openxmlformats.org/officeDocument/2006/relationships" ref="K10" r:id="rId1"/>
    <hyperlink xmlns:r="http://schemas.openxmlformats.org/officeDocument/2006/relationships" ref="K11" r:id="rId2"/>
  </hyperlinks>
  <pageMargins left="0.25" right="0.25" top="0.5" bottom="0.5" header="0.5" footer="0.5"/>
  <pageSetup fitToHeight="0" fitToWidth="1"/>
</worksheet>
</file>

<file path=xl/worksheets/sheet29.xml><?xml version="1.0" encoding="utf-8"?>
<worksheet xmlns="http://schemas.openxmlformats.org/spreadsheetml/2006/main">
  <sheetPr>
    <outlinePr summaryBelow="1" summaryRight="1"/>
    <pageSetUpPr fitToPage="1"/>
  </sheetPr>
  <dimension ref="A1:F7"/>
  <sheetViews>
    <sheetView showGridLines="0" workbookViewId="0">
      <pane ySplit="3" topLeftCell="A4" activePane="bottomLeft" state="frozen"/>
      <selection pane="bottomLeft" activeCell="A1" sqref="A1"/>
    </sheetView>
  </sheetViews>
  <sheetFormatPr baseColWidth="8" defaultRowHeight="15"/>
  <cols>
    <col width="18" customWidth="1" min="1" max="1"/>
    <col width="36" customWidth="1" min="2" max="2"/>
    <col width="105" customWidth="1" min="3" max="3"/>
    <col width="20" customWidth="1" min="4" max="4"/>
    <col width="24" customWidth="1" min="5" max="5"/>
    <col width="24" customWidth="1" min="6" max="6"/>
  </cols>
  <sheetData>
    <row r="1" ht="26" customHeight="1">
      <c r="A1" s="50" t="inlineStr">
        <is>
          <t>Template e-mails voor MBCaraudio</t>
        </is>
      </c>
    </row>
    <row r="2" ht="42" customHeight="1">
      <c r="A2" s="51" t="inlineStr">
        <is>
          <t>Doel: één scherpe pakketofferte met schriftelijke SOP9-fitmentbevestiging. Vraag ook naar afhalen en welke betaalwijze de beste totaalprijs oplevert.</t>
        </is>
      </c>
    </row>
    <row r="4" ht="30" customHeight="1">
      <c r="A4" s="14" t="inlineStr">
        <is>
          <t>Template</t>
        </is>
      </c>
      <c r="B4" s="14" t="inlineStr">
        <is>
          <t>Onderwerp</t>
        </is>
      </c>
      <c r="C4" s="14" t="inlineStr">
        <is>
          <t>Tekst</t>
        </is>
      </c>
      <c r="D4" s="14" t="inlineStr">
        <is>
          <t>Wanneer gebruiken</t>
        </is>
      </c>
      <c r="E4" s="14" t="inlineStr">
        <is>
          <t>Ontvanger</t>
        </is>
      </c>
      <c r="F4" s="14" t="inlineStr">
        <is>
          <t>Status</t>
        </is>
      </c>
    </row>
    <row r="5" ht="330" customHeight="1">
      <c r="A5" s="15" t="inlineStr">
        <is>
          <t>1 – Pakketofferte</t>
        </is>
      </c>
      <c r="B5" s="15" t="inlineStr">
        <is>
          <t>Offerte complete 15-speaker audio-upgrade Tesla Model 3 Highland 2026 SOP9</t>
        </is>
      </c>
      <c r="C5" s="15" t="inlineStr">
        <is>
          <t>Beste MBCaraudio,
Ik wil een complete audio-upgrade samenstellen voor een Tesla Model 3 Highland Long Range RWD, modeljaar 2026 / SOP9. Ik bouw de installatie zelf in en wil bij voorkeur alle benodigde onderdelen in één keer bij jullie kopen.
Uitgangspunt:
- alle 15 cabin-speakers vervangen;
- mijn bestaande 2 subwoofers en aparte Pioneer mono-subversterker blijven behouden;
- Audison AF M12.14 bit als DSP/versterker;
- Audison DRC MP CAN als display/controller;
- zoveel mogelijk plug-and-play en geen aanpassingen aan de originele Tesla-kabelboom.
Voor de speakers kijk ik naar de Focal T3Y-lijn:
- 1x Focal IW T3Y 200;
- 1x Focal IS T3Y 100;
- 1x Focal ICC T3Y 100;
- 2x Focal IC T3Y 100.
Deze combinatie lijkt 11 fysieke speakerposities af te dekken. Willen jullie voor mijn exacte Highland 2026/SOP9 aangeven welke vier aanvullende speakers, adapters, kabels en connectoren nodig zijn om werkelijk alle 15 cabin-speakers te vervangen? Als budgetkandidaten voor de ontbrekende kleine drivers zie ik bij jullie onder andere GLADEN GAMMA GM80 (80 mm) en Audison AP 2 MV (50 mm); neem deze alleen op als jullie de fysieke en elektrische SOP9-fitment kunnen bevestigen. Graag ook bevestigen welke T-harness/interface jullie adviseren richting de AF M12.14 bit, zonder de originele Tesla-bekabeling door te knippen.
Willen jullie hiervoor één complete pakketprijs maken inclusief alle benodigde voedingskabel, zekeringhouder/zekering, speakerbekabeling, adapters, pigtails en kleinmateriaal?
Mijn richtbudget voor speakers + DSP/versterker + controller + bekabeling is maximaal €3.500 inclusief BTW, exclusief mijn reeds aanwezige subs en subversterker.
Ik kan de volledige bestelling in één keer afnemen en eventueel op afspraak in Oud-Gastel afhalen. Willen jullie aangeven wat in dat geval de scherpste pakketprijs is? Als de prijs afhankelijk is van de betaalwijze, ontvang ik graag de mogelijkheden en het bijbehorende prijsverschil, bijvoorbeeld bij bankoverschrijving, pin of contante betaling bij afhalen.
Graag ontvang ik de offerte ook met de exacte artikelnummers en schriftelijke bevestiging van compatibiliteit met Model 3 Highland 2026 / SOP9 Long Range RWD.
Met vriendelijke groet,
Marco</t>
        </is>
      </c>
      <c r="D5" s="15" t="inlineStr">
        <is>
          <t>Eerste mail / pakketprijs</t>
        </is>
      </c>
      <c r="E5" s="15" t="inlineStr">
        <is>
          <t>info@mbcaraudio.nl</t>
        </is>
      </c>
      <c r="F5" s="15" t="inlineStr">
        <is>
          <t>Aanbevolen</t>
        </is>
      </c>
    </row>
    <row r="6" ht="230" customHeight="1">
      <c r="A6" s="15" t="inlineStr">
        <is>
          <t>2 – Technische check</t>
        </is>
      </c>
      <c r="B6" s="15" t="inlineStr">
        <is>
          <t>Technische compatibiliteitscheck Focal + Audison DSP – Model 3 Highland 2026 SOP9</t>
        </is>
      </c>
      <c r="C6" s="15" t="inlineStr">
        <is>
          <t>Beste MBCaraudio,
Voor ik de onderdelen bestel wil ik graag één technische compatibiliteitscheck voor mijn Tesla Model 3 Highland Long Range RWD, modeljaar 2026 / SOP9.
Kunnen jullie schriftelijk bevestigen:
1. dat IW T3Y 200, IS T3Y 100, ICC T3Y 100 en IC T3Y 100 op mijn specifieke SOP9-uitvoering passen;
2. welke 15 speakerposities mijn uitvoering exact heeft en welke vier posities niet door bovenstaande Focal-set worden afgedekt;
3. welke speakers/adapters jullie voor die vier posities adviseren;
4. welke impedantie per positie moet worden aangehouden;
5. welke no-cut T-harness of interposer geschikt is om een Audison AF M12.14 bit aan te sluiten;
6. of de 12 versterkte kanalen van de AF M12.14 bit samen met passieve crossovers/groepering geschikt zijn om alle 15 cabin-speakers correct aan te sturen;
7. hoe jullie adviseren om de DSP pre-out naar mijn bestaande Pioneer mono-subversterker te voeren.
Ik wil de originele Tesla-kabelboom intact laten en alleen aan aftermarket-adapters/harnesses werken.
Als jullie hiervoor een compleet DIY-pakket kunnen leveren, ontvang ik graag ook direct een totaalprijs inclusief alle kabels, zekeringen, adapters en kleinmateriaal.
Met vriendelijke groet,
Marco</t>
        </is>
      </c>
      <c r="D6" s="15" t="inlineStr">
        <is>
          <t>Als fitment nog niet duidelijk is</t>
        </is>
      </c>
      <c r="E6" s="15" t="inlineStr">
        <is>
          <t>info@mbcaraudio.nl</t>
        </is>
      </c>
      <c r="F6" s="15" t="inlineStr">
        <is>
          <t>Technisch</t>
        </is>
      </c>
    </row>
    <row r="7" ht="230" customHeight="1">
      <c r="A7" s="15" t="inlineStr">
        <is>
          <t>3 – Audison alternatief</t>
        </is>
      </c>
      <c r="B7" s="15" t="inlineStr">
        <is>
          <t>Vraag: Audison Tesla Sound Pack compatibel met Model 3 Highland 2026/SOP9?</t>
        </is>
      </c>
      <c r="C7" s="15" t="inlineStr">
        <is>
          <t>Beste MBCaraudio,
Ik zie dat jullie inmiddels de Audison AP TSL 3Y SPK KIT en de AF TSL Tesla-pakketten aanbieden. Audison vermeldt op de huidige officiële Tesla-pagina echter dat de 2024+ Model 3 Highland op dit moment niet compatibel is.
Hebben jullie inmiddels een nieuwere/revised Audison-versie, adapterset of door Audison bevestigde oplossing die wél geschikt is voor een Model 3 Highland Long Range RWD modeljaar 2026 / SOP9?
Als dat zo is, ontvang ik graag:
- het exacte artikel-/revisienummer;
- schriftelijke bevestiging van Highland 2026/SOP9-compatibiliteit;
- aantal vervangen cabin-speakers;
- RMS/MAX-specificaties per speaker;
- benodigde Audison DSP/versterker en controller;
- complete pakketprijs zonder subwoofer, omdat mijn auto al twee subs met een aparte Pioneer mono-versterker heeft.
Als er nog geen officiële Highland-versie is, houd ik liever de Focal T3Y + AF M12.14 bit route aan.
Met vriendelijke groet,
Marco</t>
        </is>
      </c>
      <c r="D7" s="15" t="inlineStr">
        <is>
          <t>Alleen als je Audison speakers wilt overwegen</t>
        </is>
      </c>
      <c r="E7" s="15" t="inlineStr">
        <is>
          <t>info@mbcaraudio.nl</t>
        </is>
      </c>
      <c r="F7" s="15" t="inlineStr">
        <is>
          <t>Niet bestellen zonder bevestiging</t>
        </is>
      </c>
    </row>
  </sheetData>
  <mergeCells count="2">
    <mergeCell ref="A2:F2"/>
    <mergeCell ref="A1:F1"/>
  </mergeCells>
  <pageMargins left="0.25" right="0.25" top="0.5" bottom="0.5" header="0.5" footer="0.5"/>
  <pageSetup fitToHeight="0" fitToWidth="1"/>
</worksheet>
</file>

<file path=xl/worksheets/sheet30.xml><?xml version="1.0" encoding="utf-8"?>
<worksheet xmlns="http://schemas.openxmlformats.org/spreadsheetml/2006/main">
  <sheetPr>
    <outlinePr summaryBelow="1" summaryRight="1"/>
    <pageSetUpPr fitToPage="1"/>
  </sheetPr>
  <dimension ref="A1:Q11"/>
  <sheetViews>
    <sheetView showGridLines="0" workbookViewId="0">
      <pane ySplit="4" topLeftCell="A5" activePane="bottomLeft" state="frozen"/>
      <selection pane="bottomLeft" activeCell="A1" sqref="A1"/>
    </sheetView>
  </sheetViews>
  <sheetFormatPr baseColWidth="8" defaultRowHeight="15"/>
  <cols>
    <col width="24" customWidth="1" min="1" max="1"/>
    <col width="32" customWidth="1" min="2" max="2"/>
    <col width="25" customWidth="1" min="3" max="3"/>
    <col width="10" customWidth="1" min="4" max="4"/>
    <col width="20" customWidth="1" min="5" max="5"/>
    <col width="8" customWidth="1" min="6" max="6"/>
    <col width="12" customWidth="1" min="7" max="7"/>
    <col width="22" customWidth="1" min="8" max="8"/>
    <col width="10" customWidth="1" min="9" max="9"/>
    <col width="20" customWidth="1" min="10" max="10"/>
    <col width="8" customWidth="1" min="11" max="11"/>
    <col width="12" customWidth="1" min="12" max="12"/>
    <col width="14" customWidth="1" min="13" max="13"/>
    <col width="20" customWidth="1" min="14" max="14"/>
    <col width="16" customWidth="1" min="15" max="15"/>
    <col width="44" customWidth="1" min="16" max="16"/>
    <col width="70" customWidth="1" min="17" max="17"/>
  </cols>
  <sheetData>
    <row r="1" ht="28" customHeight="1">
      <c r="A1" s="50" t="inlineStr">
        <is>
          <t>MBCaraudio – kandidaten voor de 4 ontbrekende SOP9 cabin-speakers</t>
        </is>
      </c>
    </row>
    <row r="2" ht="54" customHeight="1">
      <c r="A2" s="51" t="inlineStr">
        <is>
          <t>Geen van deze vier-speaker aanvullingen is nu als officiële Tesla SOP9 plug-and-play kit bevestigd. Gebruik ze als offerte-/fitmentkandidaten; bestel pas na schriftelijke bevestiging van maat, diepte, connector, polariteit en montage-adapter.</t>
        </is>
      </c>
    </row>
    <row r="4">
      <c r="A4" s="63" t="inlineStr">
        <is>
          <t>Scenario</t>
        </is>
      </c>
      <c r="B4" s="63" t="inlineStr">
        <is>
          <t>Waarschijnlijke posities</t>
        </is>
      </c>
      <c r="C4" s="63" t="inlineStr">
        <is>
          <t>Product A</t>
        </is>
      </c>
      <c r="D4" s="63" t="inlineStr">
        <is>
          <t>Aantal A</t>
        </is>
      </c>
      <c r="E4" s="63" t="inlineStr">
        <is>
          <t>RMS/MAX A</t>
        </is>
      </c>
      <c r="F4" s="63" t="inlineStr">
        <is>
          <t>Ω A</t>
        </is>
      </c>
      <c r="G4" s="63" t="inlineStr">
        <is>
          <t>Prijs A</t>
        </is>
      </c>
      <c r="H4" s="63" t="inlineStr">
        <is>
          <t>Product B</t>
        </is>
      </c>
      <c r="I4" s="63" t="inlineStr">
        <is>
          <t>Aantal B</t>
        </is>
      </c>
      <c r="J4" s="63" t="inlineStr">
        <is>
          <t>RMS/MAX B</t>
        </is>
      </c>
      <c r="K4" s="63" t="inlineStr">
        <is>
          <t>Ω B</t>
        </is>
      </c>
      <c r="L4" s="63" t="inlineStr">
        <is>
          <t>Prijs B</t>
        </is>
      </c>
      <c r="M4" s="63" t="inlineStr">
        <is>
          <t>Toevoeging</t>
        </is>
      </c>
      <c r="N4" s="63" t="inlineStr">
        <is>
          <t>Full-system retail incl €200 materiaal</t>
        </is>
      </c>
      <c r="O4" s="63" t="inlineStr">
        <is>
          <t>Korting nodig naar €3.500</t>
        </is>
      </c>
      <c r="P4" s="63" t="inlineStr">
        <is>
          <t>Fitment/status</t>
        </is>
      </c>
      <c r="Q4" s="63" t="inlineStr">
        <is>
          <t>Bronnen</t>
        </is>
      </c>
    </row>
    <row r="5">
      <c r="A5" s="15" t="inlineStr">
        <is>
          <t>Budget kandidaat</t>
        </is>
      </c>
      <c r="B5" s="15" t="inlineStr">
        <is>
          <t>2× 80mm extra mids + 2× 50mm headliner/immersive</t>
        </is>
      </c>
      <c r="C5" s="15" t="inlineStr">
        <is>
          <t>GLADEN GAMMA GM80</t>
        </is>
      </c>
      <c r="D5" s="15" t="n">
        <v>1</v>
      </c>
      <c r="E5" s="15" t="inlineStr">
        <is>
          <t>50W RMS / 75W MAX</t>
        </is>
      </c>
      <c r="F5" s="15" t="inlineStr">
        <is>
          <t>3Ω</t>
        </is>
      </c>
      <c r="G5" s="15" t="n">
        <v>169</v>
      </c>
      <c r="H5" s="15" t="inlineStr">
        <is>
          <t>Audison AP 2 MV</t>
        </is>
      </c>
      <c r="I5" s="15" t="n">
        <v>1</v>
      </c>
      <c r="J5" s="15" t="inlineStr">
        <is>
          <t>25W RMS / 50W MAX</t>
        </is>
      </c>
      <c r="K5" s="15" t="inlineStr">
        <is>
          <t>4Ω</t>
        </is>
      </c>
      <c r="L5" s="15" t="n">
        <v>119</v>
      </c>
      <c r="M5" s="65">
        <f>G5+L5</f>
        <v/>
      </c>
      <c r="N5" s="65">
        <f>MBC_Configurator!I6+M5</f>
        <v/>
      </c>
      <c r="O5" s="55">
        <f>MAX(0,1-(MBC_Configurator!$B$6/N5))</f>
        <v/>
      </c>
      <c r="P5" s="37" t="inlineStr">
        <is>
          <t>BESTE budgetkandidaat, maar Tesla fit/adapters niet bevestigd</t>
        </is>
      </c>
      <c r="Q5" s="15" t="inlineStr">
        <is>
          <t>https://mbcaraudio.nl/car-audio-producten/speakers-acc/87-cm- | https://mbcaraudio.nl/87-cm-/audison-ap-2-mv.html</t>
        </is>
      </c>
    </row>
    <row r="6">
      <c r="A6" s="15" t="inlineStr">
        <is>
          <t>Conservatieve reserve</t>
        </is>
      </c>
      <c r="B6" s="15" t="inlineStr">
        <is>
          <t>4 posities nog volledig door MBC te specificeren</t>
        </is>
      </c>
      <c r="C6" s="15" t="inlineStr">
        <is>
          <t>TBD door MBC</t>
        </is>
      </c>
      <c r="D6" s="15" t="n">
        <v>1</v>
      </c>
      <c r="E6" s="15" t="inlineStr">
        <is>
          <t>TBD</t>
        </is>
      </c>
      <c r="F6" s="15" t="inlineStr">
        <is>
          <t>TBD</t>
        </is>
      </c>
      <c r="G6" s="15" t="n">
        <v>400</v>
      </c>
      <c r="H6" s="15" t="inlineStr">
        <is>
          <t>-</t>
        </is>
      </c>
      <c r="I6" s="15" t="n">
        <v>0</v>
      </c>
      <c r="J6" s="15" t="inlineStr">
        <is>
          <t>-</t>
        </is>
      </c>
      <c r="K6" s="15" t="inlineStr">
        <is>
          <t>-</t>
        </is>
      </c>
      <c r="L6" s="15" t="n">
        <v>0</v>
      </c>
      <c r="M6" s="65">
        <f>G6</f>
        <v/>
      </c>
      <c r="N6" s="65">
        <f>MBC_Configurator!I6+M6</f>
        <v/>
      </c>
      <c r="O6" s="55">
        <f>MAX(0,1-(MBC_Configurator!$B$6/N6))</f>
        <v/>
      </c>
      <c r="P6" s="19" t="inlineStr">
        <is>
          <t>Veiligste begroting totdat VIN/SOP9 fitment bekend is</t>
        </is>
      </c>
      <c r="Q6" s="49" t="inlineStr">
        <is>
          <t>https://mbcaraudio.nl/</t>
        </is>
      </c>
    </row>
    <row r="7">
      <c r="A7" s="15" t="inlineStr">
        <is>
          <t>Focal-heavy kandidaat</t>
        </is>
      </c>
      <c r="B7" s="15" t="inlineStr">
        <is>
          <t>2× 80mm extra mids + 2× 50mm headliner/immersive</t>
        </is>
      </c>
      <c r="C7" s="15" t="inlineStr">
        <is>
          <t>Focal 3 KM</t>
        </is>
      </c>
      <c r="D7" s="15" t="n">
        <v>2</v>
      </c>
      <c r="E7" s="15" t="inlineStr">
        <is>
          <t>60W RMS / 120W MAX</t>
        </is>
      </c>
      <c r="F7" s="15" t="inlineStr">
        <is>
          <t>4Ω</t>
        </is>
      </c>
      <c r="G7" s="15" t="n">
        <v>319</v>
      </c>
      <c r="H7" s="15" t="inlineStr">
        <is>
          <t>Audison AP 2 MV</t>
        </is>
      </c>
      <c r="I7" s="15" t="n">
        <v>1</v>
      </c>
      <c r="J7" s="15" t="inlineStr">
        <is>
          <t>25W RMS / 50W MAX</t>
        </is>
      </c>
      <c r="K7" s="15" t="inlineStr">
        <is>
          <t>4Ω</t>
        </is>
      </c>
      <c r="L7" s="15" t="n">
        <v>119</v>
      </c>
      <c r="M7" s="65">
        <f>D7*G7+L7</f>
        <v/>
      </c>
      <c r="N7" s="65">
        <f>MBC_Configurator!I6+M7</f>
        <v/>
      </c>
      <c r="O7" s="55">
        <f>MAX(0,1-(MBC_Configurator!$B$6/N7))</f>
        <v/>
      </c>
      <c r="P7" s="19" t="inlineStr">
        <is>
          <t>Focal 3 KM is custom-install; prijs lijkt per losse 80mm driver. Headliner blijft Audison.</t>
        </is>
      </c>
      <c r="Q7" s="15" t="inlineStr">
        <is>
          <t>https://www.focal.com/products/3-km | https://mbcaraudio.nl/car-audio-producten/speakers-acc/87-cm-</t>
        </is>
      </c>
    </row>
    <row r="8">
      <c r="A8" s="15" t="inlineStr">
        <is>
          <t>All-Audison budget kandidaat</t>
        </is>
      </c>
      <c r="B8" s="15" t="inlineStr">
        <is>
          <t>4 posities via compacte wide-range drivers</t>
        </is>
      </c>
      <c r="C8" s="15" t="inlineStr">
        <is>
          <t>Audison AP 2 MV</t>
        </is>
      </c>
      <c r="D8" s="15" t="n">
        <v>2</v>
      </c>
      <c r="E8" s="15" t="inlineStr">
        <is>
          <t>25W RMS / 50W MAX</t>
        </is>
      </c>
      <c r="F8" s="15" t="inlineStr">
        <is>
          <t>4Ω</t>
        </is>
      </c>
      <c r="G8" s="15" t="n">
        <v>119</v>
      </c>
      <c r="H8" s="15" t="inlineStr">
        <is>
          <t>-</t>
        </is>
      </c>
      <c r="I8" s="15" t="n">
        <v>0</v>
      </c>
      <c r="J8" s="15" t="inlineStr">
        <is>
          <t>-</t>
        </is>
      </c>
      <c r="K8" s="15" t="inlineStr">
        <is>
          <t>-</t>
        </is>
      </c>
      <c r="L8" s="15" t="n">
        <v>0</v>
      </c>
      <c r="M8" s="65">
        <f>D8*G8</f>
        <v/>
      </c>
      <c r="N8" s="65">
        <f>MBC_Configurator!I6+M8</f>
        <v/>
      </c>
      <c r="O8" s="55">
        <f>MAX(0,1-(MBC_Configurator!$B$6/N8))</f>
        <v/>
      </c>
      <c r="P8" s="39" t="inlineStr">
        <is>
          <t>Niet mijn voorkeurskeuze voor 80mm front-midposities; alleen met passende adapter/akoestische check.</t>
        </is>
      </c>
      <c r="Q8" s="49" t="inlineStr">
        <is>
          <t>https://mbcaraudio.nl/87-cm-/audison-ap-2-mv.html</t>
        </is>
      </c>
    </row>
    <row r="10">
      <c r="A10" s="179" t="inlineStr">
        <is>
          <t>v2.1 NOTE</t>
        </is>
      </c>
    </row>
    <row r="11">
      <c r="A11" s="42" t="inlineStr">
        <is>
          <t>Historical/comparison content retained. Current received MB proposal is authoritative in MB_Quote_2026-09-10 / MBC_Shopping_List and MB_Channel_Map_v2.1.</t>
        </is>
      </c>
    </row>
  </sheetData>
  <autoFilter ref="A4:Q8"/>
  <mergeCells count="2">
    <mergeCell ref="A2:Q2"/>
    <mergeCell ref="A1:Q1"/>
  </mergeCells>
  <hyperlinks>
    <hyperlink xmlns:r="http://schemas.openxmlformats.org/officeDocument/2006/relationships" ref="Q6" r:id="rId1"/>
    <hyperlink xmlns:r="http://schemas.openxmlformats.org/officeDocument/2006/relationships" ref="Q8" r:id="rId2"/>
  </hyperlinks>
  <pageMargins left="0.75" right="0.75" top="1" bottom="1" header="0.5" footer="0.5"/>
  <pageSetup fitToHeight="0" fitToWidth="1"/>
</worksheet>
</file>

<file path=xl/worksheets/sheet31.xml><?xml version="1.0" encoding="utf-8"?>
<worksheet xmlns="http://schemas.openxmlformats.org/spreadsheetml/2006/main">
  <sheetPr>
    <outlinePr summaryBelow="1" summaryRight="1"/>
    <pageSetUpPr/>
  </sheetPr>
  <dimension ref="A1:N16"/>
  <sheetViews>
    <sheetView showGridLines="0" workbookViewId="0">
      <pane ySplit="4" topLeftCell="A5" activePane="bottomLeft" state="frozen"/>
      <selection pane="bottomLeft" activeCell="A1" sqref="A1"/>
    </sheetView>
  </sheetViews>
  <sheetFormatPr baseColWidth="8" defaultRowHeight="15"/>
  <cols>
    <col width="10" customWidth="1" min="1" max="1"/>
    <col width="32" customWidth="1" min="2" max="2"/>
    <col width="34" customWidth="1" min="3" max="3"/>
    <col width="10" customWidth="1" min="4" max="4"/>
    <col width="28" customWidth="1" min="5" max="5"/>
    <col width="12" customWidth="1" min="6" max="6"/>
    <col width="22" customWidth="1" min="7" max="7"/>
    <col width="24" customWidth="1" min="8" max="8"/>
    <col width="28" customWidth="1" min="9" max="9"/>
    <col width="24" customWidth="1" min="10" max="10"/>
    <col width="35" customWidth="1" min="11" max="11"/>
    <col width="48" customWidth="1" min="12" max="12"/>
    <col width="48" customWidth="1" min="13" max="13"/>
    <col width="14" customWidth="1" min="14" max="14"/>
  </cols>
  <sheetData>
    <row r="1">
      <c r="A1" s="71" t="inlineStr">
        <is>
          <t>EU shop check – 2026-09-02</t>
        </is>
      </c>
    </row>
    <row r="2">
      <c r="A2" s="72" t="inlineStr">
        <is>
          <t>Preference: NL/DE/BE/FR first. Greece only when no sensible West-EU source exists and external trust/marketplace protection is acceptable. No previous architecture removed.</t>
        </is>
      </c>
    </row>
    <row r="4">
      <c r="A4" s="73" t="inlineStr">
        <is>
          <t>Priority</t>
        </is>
      </c>
      <c r="B4" s="73" t="inlineStr">
        <is>
          <t>Product</t>
        </is>
      </c>
      <c r="C4" s="73" t="inlineStr">
        <is>
          <t>Architecture / use</t>
        </is>
      </c>
      <c r="D4" s="73" t="inlineStr">
        <is>
          <t>Country</t>
        </is>
      </c>
      <c r="E4" s="73" t="inlineStr">
        <is>
          <t>Seller</t>
        </is>
      </c>
      <c r="F4" s="73" t="inlineStr">
        <is>
          <t>Price EUR</t>
        </is>
      </c>
      <c r="G4" s="73" t="inlineStr">
        <is>
          <t>Availability</t>
        </is>
      </c>
      <c r="H4" s="73" t="inlineStr">
        <is>
          <t>External trust evidence</t>
        </is>
      </c>
      <c r="I4" s="73" t="inlineStr">
        <is>
          <t>Trust signal</t>
        </is>
      </c>
      <c r="J4" s="73" t="inlineStr">
        <is>
          <t>NL shipping status</t>
        </is>
      </c>
      <c r="K4" s="73" t="inlineStr">
        <is>
          <t>Decision</t>
        </is>
      </c>
      <c r="L4" s="73" t="inlineStr">
        <is>
          <t>Product/source URL</t>
        </is>
      </c>
      <c r="M4" s="73" t="inlineStr">
        <is>
          <t>Trust source URL</t>
        </is>
      </c>
      <c r="N4" s="73" t="inlineStr">
        <is>
          <t>Checked</t>
        </is>
      </c>
    </row>
    <row r="5">
      <c r="A5" s="37" t="inlineStr">
        <is>
          <t>A</t>
        </is>
      </c>
      <c r="B5" s="15" t="inlineStr">
        <is>
          <t>Audison AF M12.14 bit</t>
        </is>
      </c>
      <c r="C5" s="15" t="inlineStr">
        <is>
          <t>Current BEST FIT DSP</t>
        </is>
      </c>
      <c r="D5" s="15" t="inlineStr">
        <is>
          <t>NL</t>
        </is>
      </c>
      <c r="E5" s="15" t="inlineStr">
        <is>
          <t>MB Car Audio</t>
        </is>
      </c>
      <c r="F5" s="15" t="n">
        <v>1349</v>
      </c>
      <c r="G5" s="15" t="inlineStr">
        <is>
          <t>Direct / current</t>
        </is>
      </c>
      <c r="H5" s="15" t="inlineStr">
        <is>
          <t>Trustpilot</t>
        </is>
      </c>
      <c r="I5" s="15" t="inlineStr">
        <is>
          <t>4.7/5, 84 reviews</t>
        </is>
      </c>
      <c r="J5" s="15" t="inlineStr">
        <is>
          <t>NL</t>
        </is>
      </c>
      <c r="K5" s="15" t="inlineStr">
        <is>
          <t>Preferred NL fallback / quote target</t>
        </is>
      </c>
      <c r="L5" s="15" t="inlineStr">
        <is>
          <t>https://mbcaraudio.nl/car-audio-producten/versterkers/versterkers-met-dsp</t>
        </is>
      </c>
      <c r="M5" s="15" t="inlineStr">
        <is>
          <t>https://nl.trustpilot.com/review/www.mbcaraudio.nl</t>
        </is>
      </c>
      <c r="N5" s="15" t="inlineStr">
        <is>
          <t>2026-09-02</t>
        </is>
      </c>
    </row>
    <row r="6">
      <c r="A6" s="37" t="inlineStr">
        <is>
          <t>A</t>
        </is>
      </c>
      <c r="B6" s="15" t="inlineStr">
        <is>
          <t>Audison DRC MP CAN</t>
        </is>
      </c>
      <c r="C6" s="15" t="inlineStr">
        <is>
          <t>Current BEST FIT display</t>
        </is>
      </c>
      <c r="D6" s="15" t="inlineStr">
        <is>
          <t>NL</t>
        </is>
      </c>
      <c r="E6" s="15" t="inlineStr">
        <is>
          <t>MB Car Audio</t>
        </is>
      </c>
      <c r="F6" s="15" t="n">
        <v>179</v>
      </c>
      <c r="G6" s="15" t="inlineStr">
        <is>
          <t>Current</t>
        </is>
      </c>
      <c r="H6" s="15" t="inlineStr">
        <is>
          <t>Trustpilot</t>
        </is>
      </c>
      <c r="I6" s="15" t="inlineStr">
        <is>
          <t>4.7/5, 84 reviews</t>
        </is>
      </c>
      <c r="J6" s="15" t="inlineStr">
        <is>
          <t>NL</t>
        </is>
      </c>
      <c r="K6" s="15" t="inlineStr">
        <is>
          <t>Keep with Audison route</t>
        </is>
      </c>
      <c r="L6" s="15" t="inlineStr">
        <is>
          <t>https://mbcaraudio.nl/bass-controls/audison-drc-mp-can.html</t>
        </is>
      </c>
      <c r="M6" s="15" t="inlineStr">
        <is>
          <t>https://nl.trustpilot.com/review/www.mbcaraudio.nl</t>
        </is>
      </c>
      <c r="N6" s="15" t="inlineStr">
        <is>
          <t>2026-09-02</t>
        </is>
      </c>
    </row>
    <row r="7">
      <c r="A7" s="37" t="inlineStr">
        <is>
          <t>A</t>
        </is>
      </c>
      <c r="B7" s="15" t="inlineStr">
        <is>
          <t>MATCH PP-TES 1.7B Highland</t>
        </is>
      </c>
      <c r="C7" s="15" t="inlineStr">
        <is>
          <t>No-cut donor/interposer</t>
        </is>
      </c>
      <c r="D7" s="15" t="inlineStr">
        <is>
          <t>NL</t>
        </is>
      </c>
      <c r="E7" s="15" t="inlineStr">
        <is>
          <t>HifiMotive</t>
        </is>
      </c>
      <c r="F7" s="15" t="n">
        <v>129</v>
      </c>
      <c r="G7" s="15" t="inlineStr">
        <is>
          <t>Official MSRP/current</t>
        </is>
      </c>
      <c r="H7" s="15" t="inlineStr">
        <is>
          <t>Official distributor page</t>
        </is>
      </c>
      <c r="I7" s="15" t="inlineStr">
        <is>
          <t>Manufacturer/distributor source</t>
        </is>
      </c>
      <c r="J7" s="15" t="inlineStr">
        <is>
          <t>NL</t>
        </is>
      </c>
      <c r="K7" s="15" t="inlineStr">
        <is>
          <t>Preferred price benchmark; integration still custom to Audison</t>
        </is>
      </c>
      <c r="L7" s="15" t="inlineStr">
        <is>
          <t>https://www.caraudio.nl/artikel/match/match-pp-tes-1-7b-highland-kabelset-voor-tesla-model-3-highland-y-juniper-met-base-audio-mapptes17bhl</t>
        </is>
      </c>
      <c r="M7" s="15" t="inlineStr">
        <is>
          <t>https://www.caraudio.nl/</t>
        </is>
      </c>
      <c r="N7" s="15" t="inlineStr">
        <is>
          <t>2026-09-02</t>
        </is>
      </c>
    </row>
    <row r="8">
      <c r="A8" s="19" t="inlineStr">
        <is>
          <t>B</t>
        </is>
      </c>
      <c r="B8" s="15" t="inlineStr">
        <is>
          <t>HELIX Compose Ci3 K200.2TES4 Highland</t>
        </is>
      </c>
      <c r="C8" s="15" t="inlineStr">
        <is>
          <t>Current recommended front 7 physical transducers</t>
        </is>
      </c>
      <c r="D8" s="15" t="inlineStr">
        <is>
          <t>DE</t>
        </is>
      </c>
      <c r="E8" s="15" t="inlineStr">
        <is>
          <t>CarHifi-Store Bünde</t>
        </is>
      </c>
      <c r="F8" s="15" t="n">
        <v>729</v>
      </c>
      <c r="G8" s="15" t="inlineStr">
        <is>
          <t>In stock</t>
        </is>
      </c>
      <c r="H8" s="15" t="inlineStr">
        <is>
          <t>Idealo + Trustpilot mixed</t>
        </is>
      </c>
      <c r="I8" s="15" t="inlineStr">
        <is>
          <t>Idealo 5.0/143 historic; Trustpilot 3.0/4 recent sample</t>
        </is>
      </c>
      <c r="J8" s="15" t="inlineStr">
        <is>
          <t>EU/NL verify checkout</t>
        </is>
      </c>
      <c r="K8" s="15" t="inlineStr">
        <is>
          <t>Technically strong; buy only with clear return/fitment terms</t>
        </is>
      </c>
      <c r="L8" s="15" t="inlineStr">
        <is>
          <t>https://www.carhifi-store-buende.de/compose-ci3-k200.2tes4-tesla-model-3-highland</t>
        </is>
      </c>
      <c r="M8" s="15" t="inlineStr">
        <is>
          <t>https://www.idealo.de/preisvergleich/Shop/212678.html</t>
        </is>
      </c>
      <c r="N8" s="15" t="inlineStr">
        <is>
          <t>2026-09-02</t>
        </is>
      </c>
    </row>
    <row r="9">
      <c r="A9" s="37" t="inlineStr">
        <is>
          <t>A</t>
        </is>
      </c>
      <c r="B9" s="15" t="inlineStr">
        <is>
          <t>HELIX Ci5 M80FM-S3</t>
        </is>
      </c>
      <c r="C9" s="15" t="inlineStr">
        <is>
          <t>80mm front-mid candidate</t>
        </is>
      </c>
      <c r="D9" s="15" t="inlineStr">
        <is>
          <t>DE</t>
        </is>
      </c>
      <c r="E9" s="15" t="inlineStr">
        <is>
          <t>ARS24</t>
        </is>
      </c>
      <c r="F9" s="15" t="n">
        <v>199</v>
      </c>
      <c r="G9" s="15" t="inlineStr">
        <is>
          <t>2–3 days</t>
        </is>
      </c>
      <c r="H9" s="15" t="inlineStr">
        <is>
          <t>Trustpilot</t>
        </is>
      </c>
      <c r="I9" s="15" t="inlineStr">
        <is>
          <t>4.2/5, 583 reviews</t>
        </is>
      </c>
      <c r="J9" s="15" t="inlineStr">
        <is>
          <t>No NL shipping shown; DE/AT/FR only</t>
        </is>
      </c>
      <c r="K9" s="15" t="inlineStr">
        <is>
          <t>Use DE/FR address or choose another EU seller</t>
        </is>
      </c>
      <c r="L9" s="15" t="inlineStr">
        <is>
          <t>https://www.ars24.com/en/helix-ci5-m80fm-s3</t>
        </is>
      </c>
      <c r="M9" s="15" t="inlineStr">
        <is>
          <t>https://www.trustpilot.com/review/www.ars24.com</t>
        </is>
      </c>
      <c r="N9" s="15" t="inlineStr">
        <is>
          <t>2026-09-02</t>
        </is>
      </c>
    </row>
    <row r="10">
      <c r="A10" s="37" t="inlineStr">
        <is>
          <t>A</t>
        </is>
      </c>
      <c r="B10" s="15" t="inlineStr">
        <is>
          <t>HELIX Ci5 M50FM-S3</t>
        </is>
      </c>
      <c r="C10" s="15" t="inlineStr">
        <is>
          <t>Headliner candidate</t>
        </is>
      </c>
      <c r="D10" s="15" t="inlineStr">
        <is>
          <t>DE</t>
        </is>
      </c>
      <c r="E10" s="15" t="inlineStr">
        <is>
          <t>ARS24</t>
        </is>
      </c>
      <c r="F10" s="15" t="n">
        <v>169</v>
      </c>
      <c r="G10" s="15" t="inlineStr">
        <is>
          <t>2–3 days</t>
        </is>
      </c>
      <c r="H10" s="15" t="inlineStr">
        <is>
          <t>Trustpilot</t>
        </is>
      </c>
      <c r="I10" s="15" t="inlineStr">
        <is>
          <t>4.2/5, 583 reviews</t>
        </is>
      </c>
      <c r="J10" s="15" t="inlineStr">
        <is>
          <t>No NL shipping shown; DE/AT/FR only</t>
        </is>
      </c>
      <c r="K10" s="15" t="inlineStr">
        <is>
          <t>Same caveat as M80</t>
        </is>
      </c>
      <c r="L10" s="15" t="inlineStr">
        <is>
          <t>https://www.ars24.com/en/mitteltoener</t>
        </is>
      </c>
      <c r="M10" s="15" t="inlineStr">
        <is>
          <t>https://www.trustpilot.com/review/www.ars24.com</t>
        </is>
      </c>
      <c r="N10" s="15" t="inlineStr">
        <is>
          <t>2026-09-02</t>
        </is>
      </c>
    </row>
    <row r="11">
      <c r="A11" s="37" t="inlineStr">
        <is>
          <t>A</t>
        </is>
      </c>
      <c r="B11" s="15" t="inlineStr">
        <is>
          <t>HELIX Ci3 M100FM-S3</t>
        </is>
      </c>
      <c r="C11" s="15" t="inlineStr">
        <is>
          <t>Rear / parcel candidate</t>
        </is>
      </c>
      <c r="D11" s="15" t="inlineStr">
        <is>
          <t>DE</t>
        </is>
      </c>
      <c r="E11" s="15" t="inlineStr">
        <is>
          <t>HFB audio</t>
        </is>
      </c>
      <c r="F11" s="15" t="n">
        <v>149</v>
      </c>
      <c r="G11" s="15" t="inlineStr">
        <is>
          <t>Current comparison / stock</t>
        </is>
      </c>
      <c r="H11" s="15" t="inlineStr">
        <is>
          <t>Trusted Shops</t>
        </is>
      </c>
      <c r="I11" s="15" t="inlineStr">
        <is>
          <t>5.0/5, 22 verified reviews</t>
        </is>
      </c>
      <c r="J11" s="15" t="inlineStr">
        <is>
          <t>Verify NL shipping</t>
        </is>
      </c>
      <c r="K11" s="15" t="inlineStr">
        <is>
          <t>Strong shop candidate</t>
        </is>
      </c>
      <c r="L11" s="15" t="inlineStr">
        <is>
          <t>https://shop.hfb.audio/produkte-fuers-auto/lautsprecher/831/helix-ci3-m100fm-s3-10cm-mittelton-lautsprecher</t>
        </is>
      </c>
      <c r="M11" s="15" t="inlineStr">
        <is>
          <t>https://www.trustedshops.de/bewertung/info_X9946A4C75A92675289E0828A5F9168FF.html</t>
        </is>
      </c>
      <c r="N11" s="15" t="inlineStr">
        <is>
          <t>2026-09-02</t>
        </is>
      </c>
    </row>
    <row r="12">
      <c r="A12" s="37" t="inlineStr">
        <is>
          <t>A</t>
        </is>
      </c>
      <c r="B12" s="15" t="inlineStr">
        <is>
          <t>Focal T3Y family</t>
        </is>
      </c>
      <c r="C12" s="15" t="inlineStr">
        <is>
          <t>MBC/Focal alternative route</t>
        </is>
      </c>
      <c r="D12" s="15" t="inlineStr">
        <is>
          <t>NL</t>
        </is>
      </c>
      <c r="E12" s="15" t="inlineStr">
        <is>
          <t>MB Car Audio</t>
        </is>
      </c>
      <c r="F12" s="15" t="n"/>
      <c r="G12" s="15" t="inlineStr">
        <is>
          <t>Direct for listed T3Y items</t>
        </is>
      </c>
      <c r="H12" s="15" t="inlineStr">
        <is>
          <t>Trustpilot</t>
        </is>
      </c>
      <c r="I12" s="15" t="inlineStr">
        <is>
          <t>4.7/5, 84 reviews</t>
        </is>
      </c>
      <c r="J12" s="15" t="inlineStr">
        <is>
          <t>NL</t>
        </is>
      </c>
      <c r="K12" s="15" t="inlineStr">
        <is>
          <t>Keep as full alternative; not replaced by PowerBass</t>
        </is>
      </c>
      <c r="L12" s="15" t="inlineStr">
        <is>
          <t>https://mbcaraudio.nl/autospecifieke-producten/tesla-autospecifieke-producten-en-accessoires/automodel-typenummer-en-bouwjaar-selectie-tesla/tesla-model-3-facelift-bouwjaar-2023-</t>
        </is>
      </c>
      <c r="M12" s="15" t="inlineStr">
        <is>
          <t>https://nl.trustpilot.com/review/www.mbcaraudio.nl</t>
        </is>
      </c>
      <c r="N12" s="15" t="inlineStr">
        <is>
          <t>2026-09-02</t>
        </is>
      </c>
    </row>
    <row r="13">
      <c r="A13" s="19" t="inlineStr">
        <is>
          <t>B</t>
        </is>
      </c>
      <c r="B13" s="15" t="inlineStr">
        <is>
          <t>HELIX V TWELVE DSP MK2</t>
        </is>
      </c>
      <c r="C13" s="15" t="inlineStr">
        <is>
          <t>High-channel alternative</t>
        </is>
      </c>
      <c r="D13" s="15" t="inlineStr">
        <is>
          <t>NL</t>
        </is>
      </c>
      <c r="E13" s="15" t="inlineStr">
        <is>
          <t>ACR Helmond / Schut</t>
        </is>
      </c>
      <c r="F13" s="15" t="n">
        <v>1499</v>
      </c>
      <c r="G13" s="15" t="inlineStr">
        <is>
          <t>Current</t>
        </is>
      </c>
      <c r="H13" s="15" t="inlineStr">
        <is>
          <t>NL specialist retail</t>
        </is>
      </c>
      <c r="I13" s="15" t="inlineStr">
        <is>
          <t>Current NL product listings</t>
        </is>
      </c>
      <c r="J13" s="15" t="inlineStr">
        <is>
          <t>NL</t>
        </is>
      </c>
      <c r="K13" s="15" t="inlineStr">
        <is>
          <t>Preserve as alternative</t>
        </is>
      </c>
      <c r="L13" s="15" t="inlineStr">
        <is>
          <t>https://www.acr-helmond.nl/helix-v-twelve-dsp-mk2.htm</t>
        </is>
      </c>
      <c r="M13" s="15" t="inlineStr">
        <is>
          <t>https://schutcarsystems.nl/producten/</t>
        </is>
      </c>
      <c r="N13" s="15" t="inlineStr">
        <is>
          <t>2026-09-02</t>
        </is>
      </c>
    </row>
    <row r="14">
      <c r="A14" s="74" t="inlineStr">
        <is>
          <t>C</t>
        </is>
      </c>
      <c r="B14" s="15" t="inlineStr">
        <is>
          <t>HELIX V EIGHTEEN DSP</t>
        </is>
      </c>
      <c r="C14" s="15" t="inlineStr">
        <is>
          <t>18-channel full-active alternative</t>
        </is>
      </c>
      <c r="D14" s="15" t="inlineStr">
        <is>
          <t>NL</t>
        </is>
      </c>
      <c r="E14" s="15" t="inlineStr">
        <is>
          <t>MB / ACR / Schut</t>
        </is>
      </c>
      <c r="F14" s="15" t="n">
        <v>1799</v>
      </c>
      <c r="G14" s="15" t="inlineStr">
        <is>
          <t>Current</t>
        </is>
      </c>
      <c r="H14" s="15" t="inlineStr">
        <is>
          <t>NL specialist retail</t>
        </is>
      </c>
      <c r="I14" s="15" t="inlineStr">
        <is>
          <t>Current NL product listings</t>
        </is>
      </c>
      <c r="J14" s="15" t="inlineStr">
        <is>
          <t>NL</t>
        </is>
      </c>
      <c r="K14" s="15" t="inlineStr">
        <is>
          <t>Premium alternative; over current budget unless savings elsewhere</t>
        </is>
      </c>
      <c r="L14" s="15" t="inlineStr">
        <is>
          <t>https://mbcaraudio.nl/car-audio-producten/versterkers/versterkers-met-dsp</t>
        </is>
      </c>
      <c r="M14" s="15" t="inlineStr">
        <is>
          <t>https://schutcarsystems.nl/producten/</t>
        </is>
      </c>
      <c r="N14" s="15" t="inlineStr">
        <is>
          <t>2026-09-02</t>
        </is>
      </c>
    </row>
    <row r="15">
      <c r="A15" s="19" t="inlineStr">
        <is>
          <t>B</t>
        </is>
      </c>
      <c r="B15" s="15" t="inlineStr">
        <is>
          <t>Ground Zero GZUF 60SQ-A</t>
        </is>
      </c>
      <c r="C15" s="15" t="inlineStr">
        <is>
          <t>Headliner alternative</t>
        </is>
      </c>
      <c r="D15" s="15" t="inlineStr">
        <is>
          <t>NL</t>
        </is>
      </c>
      <c r="E15" s="15" t="inlineStr">
        <is>
          <t>MB Car Audio</t>
        </is>
      </c>
      <c r="F15" s="15" t="n">
        <v>174.95</v>
      </c>
      <c r="G15" s="15" t="inlineStr">
        <is>
          <t>5–10 working days</t>
        </is>
      </c>
      <c r="H15" s="15" t="inlineStr">
        <is>
          <t>Trustpilot</t>
        </is>
      </c>
      <c r="I15" s="15" t="inlineStr">
        <is>
          <t>MB 4.7/5, 84 reviews</t>
        </is>
      </c>
      <c r="J15" s="15" t="inlineStr">
        <is>
          <t>NL</t>
        </is>
      </c>
      <c r="K15" s="15" t="inlineStr">
        <is>
          <t>Valid price/quality candidate; custom fitment remains</t>
        </is>
      </c>
      <c r="L15" s="15" t="inlineStr">
        <is>
          <t>https://mbcaraudio.nl/87-cm-/ground-zero-gzuf-60sq-a.html</t>
        </is>
      </c>
      <c r="M15" s="15" t="inlineStr">
        <is>
          <t>https://nl.trustpilot.com/review/www.mbcaraudio.nl</t>
        </is>
      </c>
      <c r="N15" s="15" t="inlineStr">
        <is>
          <t>2026-09-02</t>
        </is>
      </c>
    </row>
    <row r="16">
      <c r="A16" s="74" t="inlineStr">
        <is>
          <t>C</t>
        </is>
      </c>
      <c r="B16" s="15" t="inlineStr">
        <is>
          <t>PowerBass T3Y family</t>
        </is>
      </c>
      <c r="C16" s="15" t="inlineStr">
        <is>
          <t>Price-focused Highland speaker alternative</t>
        </is>
      </c>
      <c r="D16" s="15" t="inlineStr">
        <is>
          <t>GR</t>
        </is>
      </c>
      <c r="E16" s="15" t="inlineStr">
        <is>
          <t>Skroutz / Greek specialist sellers</t>
        </is>
      </c>
      <c r="F16" s="15" t="n"/>
      <c r="G16" s="15" t="inlineStr">
        <is>
          <t>Partial EU listings found</t>
        </is>
      </c>
      <c r="H16" s="15" t="inlineStr">
        <is>
          <t>Trustpilot Skroutz</t>
        </is>
      </c>
      <c r="I16" s="15" t="inlineStr">
        <is>
          <t>4.0/5, 4,117 reviews; mixed after-sales reports</t>
        </is>
      </c>
      <c r="J16" s="15" t="inlineStr">
        <is>
          <t>Skroutz supports international EU orders but checkout varies</t>
        </is>
      </c>
      <c r="K16" s="15" t="inlineStr">
        <is>
          <t>Research route only until all SKUs + shipping + seller verified</t>
        </is>
      </c>
      <c r="L16" s="15" t="inlineStr">
        <is>
          <t>https://powerbassusa.com/media/uploads_file/2025/08/13/a689d30a14704e8.91360818.pdf</t>
        </is>
      </c>
      <c r="M16" s="15" t="inlineStr">
        <is>
          <t>https://www.trustpilot.com/review/skroutz.gr</t>
        </is>
      </c>
      <c r="N16" s="15" t="inlineStr">
        <is>
          <t>2026-09-02</t>
        </is>
      </c>
    </row>
  </sheetData>
  <mergeCells count="2">
    <mergeCell ref="A2:N2"/>
    <mergeCell ref="A1:N1"/>
  </mergeCells>
  <pageMargins left="0.75" right="0.75" top="1" bottom="1" header="0.5" footer="0.5"/>
</worksheet>
</file>

<file path=xl/worksheets/sheet32.xml><?xml version="1.0" encoding="utf-8"?>
<worksheet xmlns="http://schemas.openxmlformats.org/spreadsheetml/2006/main">
  <sheetPr>
    <tabColor rgb="00E82127"/>
    <outlinePr summaryBelow="1" summaryRight="1"/>
    <pageSetUpPr/>
  </sheetPr>
  <dimension ref="A1:M16"/>
  <sheetViews>
    <sheetView showGridLines="0" workbookViewId="0">
      <pane ySplit="4" topLeftCell="A5" activePane="bottomLeft" state="frozen"/>
      <selection pane="bottomLeft" activeCell="A1" sqref="A1"/>
    </sheetView>
  </sheetViews>
  <sheetFormatPr baseColWidth="8" defaultRowHeight="15"/>
  <cols>
    <col width="28" customWidth="1" min="1" max="1"/>
    <col width="31" customWidth="1" min="2" max="2"/>
    <col width="12" customWidth="1" min="3" max="3"/>
    <col width="28" customWidth="1" min="4" max="4"/>
    <col width="31" customWidth="1" min="5" max="5"/>
    <col width="12" customWidth="1" min="6" max="6"/>
    <col width="15" customWidth="1" min="7" max="7"/>
    <col width="47" customWidth="1" min="8" max="8"/>
    <col width="53" customWidth="1" min="9" max="9"/>
    <col width="40" customWidth="1" min="10" max="10"/>
    <col width="60" customWidth="1" min="11" max="11"/>
    <col width="60" customWidth="1" min="12" max="12"/>
    <col width="13" customWidth="1" min="13" max="13"/>
  </cols>
  <sheetData>
    <row r="1" ht="22" customHeight="1">
      <c r="A1" s="118" t="inlineStr">
        <is>
          <t>SPEAKER SOURCING — GENUINE HELIX DE vs BOXMORE NL/BE</t>
        </is>
      </c>
    </row>
    <row r="2" ht="48" customHeight="1">
      <c r="A2" s="119" t="inlineStr">
        <is>
          <t>Prices are current online references, not negotiated package quotes. HifiMotive confirms a shared-development relationship with Audiotec Fischer, but exact current SKU identity, impedance, tuning and vehicle-specific accessories must be compared rather than inferred from BXE/BXA/BXS family names.</t>
        </is>
      </c>
    </row>
    <row r="4">
      <c r="A4" s="76" t="inlineStr">
        <is>
          <t>Family / position</t>
        </is>
      </c>
      <c r="B4" s="76" t="inlineStr">
        <is>
          <t>DE genuine HELIX</t>
        </is>
      </c>
      <c r="C4" s="76" t="inlineStr">
        <is>
          <t>DE €</t>
        </is>
      </c>
      <c r="D4" s="76" t="inlineStr">
        <is>
          <t>DE availability</t>
        </is>
      </c>
      <c r="E4" s="76" t="inlineStr">
        <is>
          <t>NL/BE BOXMORE / local</t>
        </is>
      </c>
      <c r="F4" s="76" t="inlineStr">
        <is>
          <t>NL/BE €</t>
        </is>
      </c>
      <c r="G4" s="76" t="inlineStr">
        <is>
          <t>NL minus DE €</t>
        </is>
      </c>
      <c r="H4" s="76" t="inlineStr">
        <is>
          <t>Equivalence / fit status</t>
        </is>
      </c>
      <c r="I4" s="76" t="inlineStr">
        <is>
          <t>Quality / price assessment</t>
        </is>
      </c>
      <c r="J4" s="76" t="inlineStr">
        <is>
          <t>Current recommendation</t>
        </is>
      </c>
      <c r="K4" s="76" t="inlineStr">
        <is>
          <t>DE URL</t>
        </is>
      </c>
      <c r="L4" s="76" t="inlineStr">
        <is>
          <t>NL/BE URL</t>
        </is>
      </c>
      <c r="M4" s="76" t="inlineStr">
        <is>
          <t>Checked</t>
        </is>
      </c>
    </row>
    <row r="5">
      <c r="A5" s="120" t="inlineStr">
        <is>
          <t>i5 80 mm / front-door effect pair</t>
        </is>
      </c>
      <c r="B5" s="120" t="inlineStr">
        <is>
          <t>HELIX Ci5 M80FM-S3</t>
        </is>
      </c>
      <c r="C5" s="122" t="n">
        <v>199</v>
      </c>
      <c r="D5" s="120" t="inlineStr">
        <is>
          <t>Sofort verfügbar</t>
        </is>
      </c>
      <c r="E5" s="120" t="inlineStr">
        <is>
          <t>BOXMORE BXA M80 S3.1</t>
        </is>
      </c>
      <c r="F5" s="122" t="n">
        <v>199</v>
      </c>
      <c r="G5" s="123">
        <f>F5-C5</f>
        <v/>
      </c>
      <c r="H5" s="120" t="inlineStr">
        <is>
          <t>Related family; exact Tesla adapter/pigtail still verify</t>
        </is>
      </c>
      <c r="I5" s="120" t="inlineStr">
        <is>
          <t>No price advantage for BOXMORE at RRP. Genuine HELIX has the clearest documented Compose/FlexMount route.</t>
        </is>
      </c>
      <c r="J5" s="120" t="inlineStr">
        <is>
          <t>BUY HELIX DE if stock/pickup works</t>
        </is>
      </c>
      <c r="K5" s="120" t="inlineStr">
        <is>
          <t>https://www.carhifi-store-buende.de/helix-ci5-m80fm-s3</t>
        </is>
      </c>
      <c r="L5" s="120" t="inlineStr">
        <is>
          <t>https://www.caraudio.nl/assortiment/boxmore</t>
        </is>
      </c>
      <c r="M5" s="120" t="inlineStr">
        <is>
          <t>2026-09-10</t>
        </is>
      </c>
    </row>
    <row r="6">
      <c r="A6" s="120" t="inlineStr">
        <is>
          <t>i5 50 mm / headliner pair</t>
        </is>
      </c>
      <c r="B6" s="120" t="inlineStr">
        <is>
          <t>HELIX Ci5 M50FM-S3</t>
        </is>
      </c>
      <c r="C6" s="122" t="n">
        <v>169</v>
      </c>
      <c r="D6" s="120" t="inlineStr">
        <is>
          <t>Sofort verfügbar</t>
        </is>
      </c>
      <c r="E6" s="120" t="inlineStr">
        <is>
          <t>BOXMORE BXA M50 S3.1</t>
        </is>
      </c>
      <c r="F6" s="122" t="n">
        <v>149</v>
      </c>
      <c r="G6" s="123">
        <f>F6-C6</f>
        <v/>
      </c>
      <c r="H6" s="120" t="inlineStr">
        <is>
          <t>Related family; exact SOP9 headliner mount/pigtail still custom/verify</t>
        </is>
      </c>
      <c r="I6" s="120" t="inlineStr">
        <is>
          <t>BOXMORE saves only €20; small enough that genuine HELIX is preferable when buying the rest in DE.</t>
        </is>
      </c>
      <c r="J6" s="120" t="inlineStr">
        <is>
          <t>HELIX DE preferred; BOXMORE if local stock wins</t>
        </is>
      </c>
      <c r="K6" s="120" t="inlineStr">
        <is>
          <t>https://www.carhifi-store-buende.de/helix-ci5-m50fm-s3</t>
        </is>
      </c>
      <c r="L6" s="120" t="inlineStr">
        <is>
          <t>https://www.caraudio.nl/assortiment/boxmore</t>
        </is>
      </c>
      <c r="M6" s="120" t="inlineStr">
        <is>
          <t>2026-09-10</t>
        </is>
      </c>
    </row>
    <row r="7">
      <c r="A7" s="120" t="inlineStr">
        <is>
          <t>i7-class 200 mm / front woofers</t>
        </is>
      </c>
      <c r="B7" s="120" t="inlineStr">
        <is>
          <t>HELIX Ci7 W200FM-S3</t>
        </is>
      </c>
      <c r="C7" s="122" t="n">
        <v>539</v>
      </c>
      <c r="D7" s="120" t="inlineStr">
        <is>
          <t>Sofort verfügbar</t>
        </is>
      </c>
      <c r="E7" s="120" t="inlineStr">
        <is>
          <t>BOXMORE BXS W200 S3.1</t>
        </is>
      </c>
      <c r="F7" s="122" t="n">
        <v>399</v>
      </c>
      <c r="G7" s="123">
        <f>F7-C7</f>
        <v/>
      </c>
      <c r="H7" s="120" t="inlineStr">
        <is>
          <t>Very close published geometry and both 3Ω/150W RMS; do not assume exact Tesla accessories/voicing identity</t>
        </is>
      </c>
      <c r="I7" s="120" t="inlineStr">
        <is>
          <t>BOXMORE saves €140/pair at RRP. Bünde also lists HELIX without grilles at €509, reducing the fair Tesla-use premium to €110.</t>
        </is>
      </c>
      <c r="J7" s="120" t="inlineStr">
        <is>
          <t>BOXMORE worth verifying for premium build</t>
        </is>
      </c>
      <c r="K7" s="120" t="inlineStr">
        <is>
          <t>https://www.carhifi-store-buende.de/lautsprecher/helix-compose/helix-compose-i7/</t>
        </is>
      </c>
      <c r="L7" s="120" t="inlineStr">
        <is>
          <t>https://www.caraudio.nl/artikel/boxmore/boxmore-bxs-w200-s3-1-specialist-200-mm-woofer-set-bxsw200s3_1</t>
        </is>
      </c>
      <c r="M7" s="120" t="inlineStr">
        <is>
          <t>2026-09-10</t>
        </is>
      </c>
    </row>
    <row r="8">
      <c r="A8" s="120" t="inlineStr">
        <is>
          <t>i7-class 100 mm / mids</t>
        </is>
      </c>
      <c r="B8" s="120" t="inlineStr">
        <is>
          <t>HELIX Ci7 M100FM-S3</t>
        </is>
      </c>
      <c r="C8" s="122" t="n">
        <v>399</v>
      </c>
      <c r="D8" s="120" t="inlineStr">
        <is>
          <t>4-day listing / confirm</t>
        </is>
      </c>
      <c r="E8" s="120" t="inlineStr">
        <is>
          <t>BOXMORE BXS M100FL S3.1</t>
        </is>
      </c>
      <c r="F8" s="122" t="n">
        <v>269</v>
      </c>
      <c r="G8" s="123">
        <f>F8-C8</f>
        <v/>
      </c>
      <c r="H8" s="120" t="inlineStr">
        <is>
          <t>Related high-end family; published RMS differs: HELIX 100W vs BOXMORE 90W; geometry close</t>
        </is>
      </c>
      <c r="I8" s="120" t="inlineStr">
        <is>
          <t>BOXMORE saves €130/pair and is serious value, but published specification difference disproves a blanket “logo-only” assumption.</t>
        </is>
      </c>
      <c r="J8" s="120" t="inlineStr">
        <is>
          <t>BOXMORE selective candidate after fit check</t>
        </is>
      </c>
      <c r="K8" s="120" t="inlineStr">
        <is>
          <t>https://www.carhifi-store-buende.de/lautsprecher/helix-compose/helix-compose-i7/</t>
        </is>
      </c>
      <c r="L8" s="120" t="inlineStr">
        <is>
          <t>https://www.caraudio.nl/artikel/boxmore-bxs-m100fl-s3-1-100-mm-shallow-midrange-set-bxsm100fls3_1</t>
        </is>
      </c>
      <c r="M8" s="120" t="inlineStr">
        <is>
          <t>2026-09-10</t>
        </is>
      </c>
    </row>
    <row r="9">
      <c r="A9" s="120" t="inlineStr">
        <is>
          <t>i7-class 20 mm / tweeters</t>
        </is>
      </c>
      <c r="B9" s="120" t="inlineStr">
        <is>
          <t>HELIX Ci7 T20FM-SC</t>
        </is>
      </c>
      <c r="C9" s="122" t="n">
        <v>399</v>
      </c>
      <c r="D9" s="120" t="inlineStr">
        <is>
          <t>Sofort / confirm exact stock</t>
        </is>
      </c>
      <c r="E9" s="120" t="inlineStr">
        <is>
          <t>BOXMORE BXS T20RC.1</t>
        </is>
      </c>
      <c r="F9" s="122" t="n">
        <v>249</v>
      </c>
      <c r="G9" s="123">
        <f>F9-C9</f>
        <v/>
      </c>
      <c r="H9" s="120" t="inlineStr">
        <is>
          <t>Related high-end 20 mm soft/silk-dome concept; exact adapter/coupling-volume implementation must be checked</t>
        </is>
      </c>
      <c r="I9" s="120" t="inlineStr">
        <is>
          <t>BOXMORE saves €150/pair; worthwhile only if correct Tesla tweeter mount/ring can be secured.</t>
        </is>
      </c>
      <c r="J9" s="120" t="inlineStr">
        <is>
          <t>BOXMORE candidate, fit before price</t>
        </is>
      </c>
      <c r="K9" s="120" t="inlineStr">
        <is>
          <t>https://www.carhifi-store-buende.de/helix-ci7-t20fm-sc</t>
        </is>
      </c>
      <c r="L9" s="120" t="inlineStr">
        <is>
          <t>https://www.caraudio.nl/artikel/boxmore-bxs-t20rc-1-20-mm-soft-dome-tweeters-set-bxst20rc_1</t>
        </is>
      </c>
      <c r="M9" s="120" t="inlineStr">
        <is>
          <t>2026-09-10</t>
        </is>
      </c>
    </row>
    <row r="10">
      <c r="A10" s="120" t="inlineStr">
        <is>
          <t>Highland front+center value package</t>
        </is>
      </c>
      <c r="B10" s="120" t="inlineStr">
        <is>
          <t>HELIX Ci3 K200.2TES4 Highland</t>
        </is>
      </c>
      <c r="C10" s="122" t="n">
        <v>729</v>
      </c>
      <c r="D10" s="120" t="inlineStr">
        <is>
          <t>Sofort verfügbar</t>
        </is>
      </c>
      <c r="E10" s="120" t="inlineStr">
        <is>
          <t>No exact current BOXMORE Highland package verified</t>
        </is>
      </c>
      <c r="F10" s="122" t="n"/>
      <c r="G10" s="123" t="n"/>
      <c r="H10" s="120" t="inlineStr">
        <is>
          <t>HELIX package explicitly targets Model 3 Highland and bundles vehicle-specific adapters/connectors</t>
        </is>
      </c>
      <c r="I10" s="120" t="inlineStr">
        <is>
          <t>This package is the strongest value/fit foundation found. Do not replace with loose BOXMORE components without re-pricing all mounts/connectors.</t>
        </is>
      </c>
      <c r="J10" s="120" t="inlineStr">
        <is>
          <t>BUY HELIX DE</t>
        </is>
      </c>
      <c r="K10" s="120" t="inlineStr">
        <is>
          <t>https://www.carhifi-store-buende.de/lautsprecher/nach-fahrzeug/tesla/model-3-highland/</t>
        </is>
      </c>
      <c r="L10" s="120" t="inlineStr">
        <is>
          <t>https://www.caraudio.nl/assortiment/boxmore</t>
        </is>
      </c>
      <c r="M10" s="120" t="inlineStr">
        <is>
          <t>2026-09-10</t>
        </is>
      </c>
    </row>
    <row r="11">
      <c r="A11" s="120" t="inlineStr">
        <is>
          <t>DSP controller</t>
        </is>
      </c>
      <c r="B11" s="120" t="inlineStr">
        <is>
          <t>HELIX DIRECTOR for SCP (ARS24)</t>
        </is>
      </c>
      <c r="C11" s="122" t="n">
        <v>249</v>
      </c>
      <c r="D11" s="120" t="inlineStr">
        <is>
          <t>2–3 days; DE/AT/FR shipping only</t>
        </is>
      </c>
      <c r="E11" s="120" t="inlineStr">
        <is>
          <t>HELIX DIRECTOR for SCP via NL dealer</t>
        </is>
      </c>
      <c r="F11" s="122" t="n">
        <v>299</v>
      </c>
      <c r="G11" s="123">
        <f>F11-C11</f>
        <v/>
      </c>
      <c r="H11" s="120" t="inlineStr">
        <is>
          <t>Same HELIX controller; route difference is seller/logistics, not product family</t>
        </is>
      </c>
      <c r="I11" s="120" t="inlineStr">
        <is>
          <t>€50 DE price advantage can disappear if shipping/pickup timing is awkward.</t>
        </is>
      </c>
      <c r="J11" s="120" t="inlineStr">
        <is>
          <t>Use cheapest source that meets install-week timing</t>
        </is>
      </c>
      <c r="K11" s="120" t="inlineStr">
        <is>
          <t>https://www.ars24.com/en/helix-director-for-scp</t>
        </is>
      </c>
      <c r="L11" s="120" t="inlineStr">
        <is>
          <t>https://www.caraudio.nl/assortiment/helix</t>
        </is>
      </c>
      <c r="M11" s="120" t="inlineStr">
        <is>
          <t>2026-09-10</t>
        </is>
      </c>
    </row>
    <row r="12">
      <c r="A12" s="120" t="inlineStr">
        <is>
          <t>Tesla-side harness donor</t>
        </is>
      </c>
      <c r="B12" s="120" t="inlineStr">
        <is>
          <t>MATCH PP-TES 1.7B Highland</t>
        </is>
      </c>
      <c r="C12" s="122" t="n">
        <v>129</v>
      </c>
      <c r="D12" s="120" t="inlineStr">
        <is>
          <t>Sofort verfügbar</t>
        </is>
      </c>
      <c r="E12" s="120" t="inlineStr">
        <is>
          <t>MATCH PP-TES 1.7B Highland via NL dealer</t>
        </is>
      </c>
      <c r="F12" s="122" t="n">
        <v>129</v>
      </c>
      <c r="G12" s="123">
        <f>F12-C12</f>
        <v/>
      </c>
      <c r="H12" s="120" t="inlineStr">
        <is>
          <t>Same harness family; official use is MATCH UP10, not direct V EIGHTEEN</t>
        </is>
      </c>
      <c r="I12" s="120" t="inlineStr">
        <is>
          <t>No price difference at reference level. Choose source by stock and convenience.</t>
        </is>
      </c>
      <c r="J12" s="120" t="inlineStr">
        <is>
          <t>BUY WHERE PHYSICALLY AVAILABLE</t>
        </is>
      </c>
      <c r="K12" s="120" t="inlineStr">
        <is>
          <t>https://www.carhifi-store-buende.de/match-pp-tes-1.7b-highland</t>
        </is>
      </c>
      <c r="L12" s="120" t="inlineStr">
        <is>
          <t>https://www.caraudio.nl/assortiment/match</t>
        </is>
      </c>
      <c r="M12" s="120" t="inlineStr">
        <is>
          <t>2026-09-10</t>
        </is>
      </c>
    </row>
    <row r="15">
      <c r="A15" s="76" t="inlineStr">
        <is>
          <t>i7-class subset summary</t>
        </is>
      </c>
      <c r="B15" s="76" t="n"/>
      <c r="C15" s="76" t="n"/>
      <c r="D15" s="76" t="n"/>
      <c r="E15" s="76" t="n"/>
      <c r="F15" s="76" t="n"/>
      <c r="G15" s="76" t="n"/>
      <c r="H15" s="76" t="n"/>
      <c r="I15" s="76" t="n"/>
      <c r="J15" s="76" t="n"/>
      <c r="K15" s="76" t="n"/>
      <c r="L15" s="76" t="n"/>
      <c r="M15" s="76" t="n"/>
    </row>
    <row r="16">
      <c r="A16" s="15" t="inlineStr">
        <is>
          <t>Genuine HELIX subset (1× W200 pair + 3× M100 pairs + 1× T20 pair)</t>
        </is>
      </c>
      <c r="B16" s="15" t="n"/>
      <c r="C16" s="123">
        <f>C7+3*C8+C9</f>
        <v/>
      </c>
      <c r="D16" s="15" t="n"/>
      <c r="E16" s="15" t="inlineStr">
        <is>
          <t>BOXMORE BXS analogous subset</t>
        </is>
      </c>
      <c r="F16" s="123">
        <f>F7+3*F8+F9</f>
        <v/>
      </c>
      <c r="G16" s="123">
        <f>F16-C16</f>
        <v/>
      </c>
      <c r="H16" s="15" t="inlineStr">
        <is>
          <t>Potential RRP saving, NOT proof of exact component equivalence. Using the €509 HELIX W200 no-grille listing would reduce the HELIX subset by €30.</t>
        </is>
      </c>
      <c r="I16" s="15" t="n"/>
      <c r="J16" s="15" t="n"/>
      <c r="K16" s="15" t="n"/>
      <c r="L16" s="15" t="n"/>
      <c r="M16" s="15" t="n"/>
    </row>
  </sheetData>
  <autoFilter ref="A4:M12"/>
  <mergeCells count="2">
    <mergeCell ref="A2:M2"/>
    <mergeCell ref="A1:M1"/>
  </mergeCells>
  <pageMargins left="0.75" right="0.75" top="1" bottom="1" header="0.5" footer="0.5"/>
</worksheet>
</file>

<file path=xl/worksheets/sheet33.xml><?xml version="1.0" encoding="utf-8"?>
<worksheet xmlns="http://schemas.openxmlformats.org/spreadsheetml/2006/main">
  <sheetPr>
    <tabColor rgb="00E82127"/>
    <outlinePr summaryBelow="1" summaryRight="1"/>
    <pageSetUpPr/>
  </sheetPr>
  <dimension ref="A1:H11"/>
  <sheetViews>
    <sheetView showGridLines="0" workbookViewId="0">
      <pane ySplit="4" topLeftCell="A5" activePane="bottomLeft" state="frozen"/>
      <selection pane="bottomLeft" activeCell="A1" sqref="A1"/>
    </sheetView>
  </sheetViews>
  <sheetFormatPr baseColWidth="8" defaultRowHeight="15"/>
  <cols>
    <col width="29" customWidth="1" min="1" max="1"/>
    <col width="58" customWidth="1" min="2" max="2"/>
    <col width="16" customWidth="1" min="3" max="3"/>
    <col width="24" customWidth="1" min="4" max="4"/>
    <col width="42" customWidth="1" min="5" max="5"/>
    <col width="46" customWidth="1" min="6" max="6"/>
    <col width="52" customWidth="1" min="7" max="7"/>
    <col width="50" customWidth="1" min="8" max="8"/>
  </cols>
  <sheetData>
    <row r="1" ht="22" customHeight="1">
      <c r="A1" s="118" t="inlineStr">
        <is>
          <t>V EIGHTEEN STAGED PURCHASE PLAN — CORE 9 → FULL 15</t>
        </is>
      </c>
    </row>
    <row r="2" ht="48" customHeight="1">
      <c r="A2" s="119" t="inlineStr">
        <is>
          <t>This plan turns Schut’s “effect speakers add little to normal music” observation into a budget option without abandoning the 15-speaker end state. That acoustic importance assessment remains supplier opinion. Prices exclude high-current power/fusing, damping, custom SOP9 pigtails/interposer work and shipping unless stated.</t>
        </is>
      </c>
    </row>
    <row r="4">
      <c r="A4" s="76" t="inlineStr">
        <is>
          <t>Stage / option</t>
        </is>
      </c>
      <c r="B4" s="76" t="inlineStr">
        <is>
          <t>Included hardware / positions</t>
        </is>
      </c>
      <c r="C4" s="76" t="inlineStr">
        <is>
          <t>Known hardware €</t>
        </is>
      </c>
      <c r="D4" s="76" t="inlineStr">
        <is>
          <t>Adds physical cabin positions</t>
        </is>
      </c>
      <c r="E4" s="76" t="inlineStr">
        <is>
          <t>DSP / channel impact</t>
        </is>
      </c>
      <c r="F4" s="76" t="inlineStr">
        <is>
          <t>Why / when</t>
        </is>
      </c>
      <c r="G4" s="76" t="inlineStr">
        <is>
          <t>Excluded / caveat</t>
        </is>
      </c>
      <c r="H4" s="76" t="inlineStr">
        <is>
          <t>Source basis</t>
        </is>
      </c>
    </row>
    <row r="5">
      <c r="A5" s="120" t="inlineStr">
        <is>
          <t>Core Music 9 — NOW</t>
        </is>
      </c>
      <c r="B5" s="120" t="inlineStr">
        <is>
          <t>V EIGHTEEN €1,799 + K200.2TES4 €729 (7 front/center physical) + 1× Ci3 M100 pair €159 (rear doors) + DIRECTOR €249 + PP-TES donor €129</t>
        </is>
      </c>
      <c r="C5" s="123">
        <f>1799+729+159+249+129</f>
        <v/>
      </c>
      <c r="D5" s="120" t="inlineStr">
        <is>
          <t>9</t>
        </is>
      </c>
      <c r="E5" s="120" t="inlineStr">
        <is>
          <t>V EIGHTEEN remains final DSP; many outputs spare now. K200 can begin passive, then be rewired/bypassed for true 15-channel full-active completion.</t>
        </is>
      </c>
      <c r="F5" s="120" t="inlineStr">
        <is>
          <t>Strongest staged start if full speaker basket or installation time is constrained</t>
        </is>
      </c>
      <c r="G5" s="120" t="inlineStr">
        <is>
          <t>No front-door 80 mm, parcel pair or headliners yet; adapter/power/wiring reserve excluded</t>
        </is>
      </c>
      <c r="H5" s="120" t="inlineStr">
        <is>
          <t>Bünde + ARS24 2026-09-10; Schut supplier opinion for deferred positions</t>
        </is>
      </c>
    </row>
    <row r="6">
      <c r="A6" s="120" t="inlineStr">
        <is>
          <t>Effect / immersion 6 — LATER</t>
        </is>
      </c>
      <c r="B6" s="120" t="inlineStr">
        <is>
          <t>Ci5 M80 pair €199 (front-door 80mm) + Ci3 M100 pair €159 (parcel) + Ci5 M50 pair €169 (headliner)</t>
        </is>
      </c>
      <c r="C6" s="123">
        <f>199+159+169</f>
        <v/>
      </c>
      <c r="D6" s="120" t="inlineStr">
        <is>
          <t>+6 → 15</t>
        </is>
      </c>
      <c r="E6" s="120" t="inlineStr">
        <is>
          <t>Use remaining V EIGHTEEN outputs; no new main DSP required</t>
        </is>
      </c>
      <c r="F6" s="120" t="inlineStr">
        <is>
          <t>Adds all PAUDIO-target/effect positions after core install is proven</t>
        </is>
      </c>
      <c r="G6" s="120" t="inlineStr">
        <is>
          <t>Exact mount/pigtail verification still required</t>
        </is>
      </c>
      <c r="H6" s="120" t="inlineStr">
        <is>
          <t>Bünde 2026-09-10</t>
        </is>
      </c>
    </row>
    <row r="7">
      <c r="A7" s="120" t="inlineStr">
        <is>
          <t>Adapter planning reserve</t>
        </is>
      </c>
      <c r="B7" s="120" t="inlineStr">
        <is>
          <t>2 × €19.99 existing FlexMount100 reserve</t>
        </is>
      </c>
      <c r="C7" s="123">
        <f>2*19.99</f>
        <v/>
      </c>
      <c r="D7" s="120" t="inlineStr">
        <is>
          <t>0</t>
        </is>
      </c>
      <c r="E7" s="120" t="inlineStr">
        <is>
          <t>No channel impact</t>
        </is>
      </c>
      <c r="F7" s="120" t="inlineStr">
        <is>
          <t>Retains prior budget allowance until exact rear/parcel mounting is confirmed</t>
        </is>
      </c>
      <c r="G7" s="120" t="inlineStr">
        <is>
          <t>Do not order blindly; may change after teardown</t>
        </is>
      </c>
      <c r="H7" s="120" t="inlineStr">
        <is>
          <t>Existing v1.7 planning reserve</t>
        </is>
      </c>
    </row>
    <row r="8">
      <c r="A8" s="120" t="inlineStr">
        <is>
          <t>Full 15 — NOW incl controller + reserve</t>
        </is>
      </c>
      <c r="B8" s="120" t="inlineStr">
        <is>
          <t>Core Music 9 + Effect 6 + adapter reserve</t>
        </is>
      </c>
      <c r="C8" s="123">
        <f>C5+C6+C7</f>
        <v/>
      </c>
      <c r="D8" s="120" t="inlineStr">
        <is>
          <t>15</t>
        </is>
      </c>
      <c r="E8" s="120" t="inlineStr">
        <is>
          <t>18 amplified / 20 DSP; 3 amplified channels spare after fully individual 15-channel end state</t>
        </is>
      </c>
      <c r="F8" s="120" t="inlineStr">
        <is>
          <t>Clean one-box final architecture</t>
        </is>
      </c>
      <c r="G8" s="120" t="inlineStr">
        <is>
          <t>Still excludes power/fusing/damping/custom harness work/shipping. True 15-channel full-active requires bypassing/rewiring the K200 passive L/R crossover so front mids/tweeters receive individual V EIGHTEEN channels.</t>
        </is>
      </c>
      <c r="H8" s="120" t="inlineStr">
        <is>
          <t>Current lead budget route</t>
        </is>
      </c>
    </row>
    <row r="9">
      <c r="A9" s="120" t="inlineStr">
        <is>
          <t>Full 15 — NOW, DIRECTOR deferred</t>
        </is>
      </c>
      <c r="B9" s="120" t="inlineStr">
        <is>
          <t>Full-15 hardware except DIRECTOR; adapter reserve retained</t>
        </is>
      </c>
      <c r="C9" s="123">
        <f>C8-249</f>
        <v/>
      </c>
      <c r="D9" s="120" t="inlineStr">
        <is>
          <t>15</t>
        </is>
      </c>
      <c r="E9" s="120" t="inlineStr">
        <is>
          <t>Tune/control initially by PC; add DIRECTOR later if acceptable</t>
        </is>
      </c>
      <c r="F9" s="120" t="inlineStr">
        <is>
          <t>Gets the full speaker/DSP hardware below the old €3.5k target before installation materials</t>
        </is>
      </c>
      <c r="G9" s="120" t="inlineStr">
        <is>
          <t>Convenience/display deferred; ensure USB/service access for tuning</t>
        </is>
      </c>
      <c r="H9" s="120" t="inlineStr">
        <is>
          <t>Budget staging</t>
        </is>
      </c>
    </row>
    <row r="10">
      <c r="A10" s="120" t="inlineStr">
        <is>
          <t>Core 9 — NOW, DIRECTOR deferred</t>
        </is>
      </c>
      <c r="B10" s="120" t="inlineStr">
        <is>
          <t>Core Music 9 except DIRECTOR</t>
        </is>
      </c>
      <c r="C10" s="123">
        <f>C5-249</f>
        <v/>
      </c>
      <c r="D10" s="120" t="inlineStr">
        <is>
          <t>9</t>
        </is>
      </c>
      <c r="E10" s="120" t="inlineStr">
        <is>
          <t>Final V EIGHTEEN retained</t>
        </is>
      </c>
      <c r="F10" s="120" t="inlineStr">
        <is>
          <t>Lowest clean entry point without changing end-state electronics</t>
        </is>
      </c>
      <c r="G10" s="120" t="inlineStr">
        <is>
          <t>Effect speakers + DIRECTOR + reserve are later spend</t>
        </is>
      </c>
      <c r="H10" s="120" t="inlineStr">
        <is>
          <t>Budget staging</t>
        </is>
      </c>
    </row>
    <row r="11">
      <c r="A11" s="120" t="inlineStr">
        <is>
          <t>Later completion after Core-9/no-DIRECTOR</t>
        </is>
      </c>
      <c r="B11" s="120" t="inlineStr">
        <is>
          <t>Effect 6 + DIRECTOR + adapter reserve</t>
        </is>
      </c>
      <c r="C11" s="123">
        <f>C6+249+C7</f>
        <v/>
      </c>
      <c r="D11" s="120" t="inlineStr">
        <is>
          <t>+6 → 15</t>
        </is>
      </c>
      <c r="E11" s="120" t="inlineStr">
        <is>
          <t>No main DSP replacement</t>
        </is>
      </c>
      <c r="F11" s="120" t="inlineStr">
        <is>
          <t>Completes final full-15 system</t>
        </is>
      </c>
      <c r="G11" s="120" t="inlineStr">
        <is>
          <t>C10 + C11 equals the Full-15 total C8; no main-DSP hardware becomes redundant.</t>
        </is>
      </c>
      <c r="H11" s="120" t="inlineStr">
        <is>
          <t>Budget staging</t>
        </is>
      </c>
    </row>
  </sheetData>
  <autoFilter ref="A4:H11"/>
  <mergeCells count="2">
    <mergeCell ref="A2:H2"/>
    <mergeCell ref="A1:H1"/>
  </mergeCells>
  <pageMargins left="0.75" right="0.75" top="1" bottom="1" header="0.5" footer="0.5"/>
</worksheet>
</file>

<file path=xl/worksheets/sheet34.xml><?xml version="1.0" encoding="utf-8"?>
<worksheet xmlns="http://schemas.openxmlformats.org/spreadsheetml/2006/main">
  <sheetPr>
    <tabColor rgb="00E82127"/>
    <outlinePr summaryBelow="1" summaryRight="1"/>
    <pageSetUpPr/>
  </sheetPr>
  <dimension ref="A1:H17"/>
  <sheetViews>
    <sheetView showGridLines="0" workbookViewId="0">
      <pane ySplit="4" topLeftCell="A5" activePane="bottomLeft" state="frozen"/>
      <selection pane="bottomLeft" activeCell="A1" sqref="A1"/>
    </sheetView>
  </sheetViews>
  <sheetFormatPr baseColWidth="8" defaultRowHeight="15"/>
  <cols>
    <col width="13" customWidth="1" min="1" max="1"/>
    <col width="25" customWidth="1" min="2" max="2"/>
    <col width="20" customWidth="1" min="3" max="3"/>
    <col width="68" customWidth="1" min="4" max="4"/>
    <col width="22" customWidth="1" min="5" max="5"/>
    <col width="52" customWidth="1" min="6" max="6"/>
    <col width="45" customWidth="1" min="7" max="7"/>
    <col width="45" customWidth="1" min="8" max="8"/>
  </cols>
  <sheetData>
    <row r="1" ht="22" customHeight="1">
      <c r="A1" s="118" t="inlineStr">
        <is>
          <t>SUPPLIER FEEDBACK / QUOTATION STAGE — 2026-09-10</t>
        </is>
      </c>
    </row>
    <row r="2" ht="48" customHeight="1">
      <c r="A2" s="119" t="inlineStr">
        <is>
          <t>Neutralized supplier correspondence summary. Supplier statements are not silently promoted to Tesla engineering facts. Raw emails and personal contact details are intentionally excluded from this workbook.</t>
        </is>
      </c>
    </row>
    <row r="4">
      <c r="A4" s="76" t="inlineStr">
        <is>
          <t>Date</t>
        </is>
      </c>
      <c r="B4" s="76" t="inlineStr">
        <is>
          <t>Supplier / channel</t>
        </is>
      </c>
      <c r="C4" s="76" t="inlineStr">
        <is>
          <t>Source type</t>
        </is>
      </c>
      <c r="D4" s="76" t="inlineStr">
        <is>
          <t>Feedback / claim</t>
        </is>
      </c>
      <c r="E4" s="76" t="inlineStr">
        <is>
          <t>Classification</t>
        </is>
      </c>
      <c r="F4" s="76" t="inlineStr">
        <is>
          <t>Project impact</t>
        </is>
      </c>
      <c r="G4" s="76" t="inlineStr">
        <is>
          <t>Current action / status</t>
        </is>
      </c>
      <c r="H4" s="76" t="inlineStr">
        <is>
          <t>Confidence / caveat</t>
        </is>
      </c>
    </row>
    <row r="5">
      <c r="A5" s="120" t="inlineStr">
        <is>
          <t>2026-09-08</t>
        </is>
      </c>
      <c r="B5" s="120" t="inlineStr">
        <is>
          <t>MB Car Audio</t>
        </is>
      </c>
      <c r="C5" s="120" t="inlineStr">
        <is>
          <t>Supplier email</t>
        </is>
      </c>
      <c r="D5" s="120" t="inlineStr">
        <is>
          <t>Initial estimate: requested execution would put hardware/components near €5k and a fully installed project around €8–10k; dealer prefers complete Audison Tesla packages over loose HELIX/BOXMORE components.</t>
        </is>
      </c>
      <c r="E5" s="120" t="inlineStr">
        <is>
          <t>SUPPLIER CLAIM</t>
        </is>
      </c>
      <c r="F5" s="120" t="inlineStr">
        <is>
          <t>Shows MBC commercial/technical preference; not a market-price benchmark for DIY component-only purchase.</t>
        </is>
      </c>
      <c r="G5" s="120" t="inlineStr">
        <is>
          <t>User clarified: components only, own installation; Audison acceptable only if comparable result.</t>
        </is>
      </c>
      <c r="H5" s="120" t="inlineStr">
        <is>
          <t>Price estimate includes dealer assumptions and must not replace actual itemized quote.</t>
        </is>
      </c>
    </row>
    <row r="6">
      <c r="A6" s="120" t="inlineStr">
        <is>
          <t>2026-09-08</t>
        </is>
      </c>
      <c r="B6" s="120" t="inlineStr">
        <is>
          <t>MB Car Audio</t>
        </is>
      </c>
      <c r="C6" s="120" t="inlineStr">
        <is>
          <t>Supplier email</t>
        </is>
      </c>
      <c r="D6" s="120" t="inlineStr">
        <is>
          <t>After clarification, MBC said it would check the 2026 car with Audison against the known 2024 configuration and prepare a parts/cabling/accessory overview.</t>
        </is>
      </c>
      <c r="E6" s="120" t="inlineStr">
        <is>
          <t>SUPPLIER CLAIM</t>
        </is>
      </c>
      <c r="F6" s="120" t="inlineStr">
        <is>
          <t>Audison route remains a viable fallback if a technically comparable component package can be supplied quickly.</t>
        </is>
      </c>
      <c r="G6" s="120" t="inlineStr">
        <is>
          <t>Await itemized component proposal / availability.</t>
        </is>
      </c>
      <c r="H6" s="120" t="inlineStr">
        <is>
          <t>No final itemized quote captured yet.</t>
        </is>
      </c>
    </row>
    <row r="7">
      <c r="A7" s="120" t="inlineStr">
        <is>
          <t>2026-09-09</t>
        </is>
      </c>
      <c r="B7" s="120" t="inlineStr">
        <is>
          <t>MB Car Audio</t>
        </is>
      </c>
      <c r="C7" s="120" t="inlineStr">
        <is>
          <t>Supplier email</t>
        </is>
      </c>
      <c r="D7" s="120" t="inlineStr">
        <is>
          <t>After consulting Audison and HELIX/BOXMORE supplier, MBC would not guarantee a complete 2026 package yet. It states available harnesses may require repinning, complete 2026 diagrams are not available to them, and exact connector combinations should be physically verified.</t>
        </is>
      </c>
      <c r="E7" s="120" t="inlineStr">
        <is>
          <t>SUPPLIER CLAIM</t>
        </is>
      </c>
      <c r="F7" s="120" t="inlineStr">
        <is>
          <t>Supports keeping custom interposer/physical connector verification as a hard installation checkpoint.</t>
        </is>
      </c>
      <c r="G7" s="120" t="inlineStr">
        <is>
          <t>User accepted fitment risk and again requested component-only quote.</t>
        </is>
      </c>
      <c r="H7" s="120" t="inlineStr">
        <is>
          <t>Supplier risk position; does not prove SOP9 schematics/every connector are unknown globally.</t>
        </is>
      </c>
    </row>
    <row r="8">
      <c r="A8" s="120" t="inlineStr">
        <is>
          <t>2026-09-08</t>
        </is>
      </c>
      <c r="B8" s="120" t="inlineStr">
        <is>
          <t>Schut Car Systems</t>
        </is>
      </c>
      <c r="C8" s="120" t="inlineStr">
        <is>
          <t>Supplier email</t>
        </is>
      </c>
      <c r="D8" s="120" t="inlineStr">
        <is>
          <t>Schut states HELIX Compose is marketed as BOXMORE in Benelux and maps BXE≈Ci3, BXA≈Ci5, BXS≈Ci7; it also reports recent Tesla 3/Y connector/tweeter mounting changes and keeps multiple cable sets available during installation.</t>
        </is>
      </c>
      <c r="E8" s="120" t="inlineStr">
        <is>
          <t>SUPPLIER CLAIM + PARTLY WEB-VERIFIED</t>
        </is>
      </c>
      <c r="F8" s="120" t="inlineStr">
        <is>
          <t>Do not assume every 2026 plug/pin/adapter is identical; BOXMORE becomes a local sourcing candidate.</t>
        </is>
      </c>
      <c r="G8" s="120" t="inlineStr">
        <is>
          <t>Use exact SKU/spec/adapter comparison before replacing HELIX with BOXMORE.</t>
        </is>
      </c>
      <c r="H8" s="120" t="inlineStr">
        <is>
          <t>HifiMotive confirms shared development relationship; “100% identical except logo” is NOT independently verified for every current SKU.</t>
        </is>
      </c>
    </row>
    <row r="9">
      <c r="A9" s="120" t="inlineStr">
        <is>
          <t>2026-09-08</t>
        </is>
      </c>
      <c r="B9" s="120" t="inlineStr">
        <is>
          <t>Schut Car Systems</t>
        </is>
      </c>
      <c r="C9" s="120" t="inlineStr">
        <is>
          <t>Supplier email</t>
        </is>
      </c>
      <c r="D9" s="120" t="inlineStr">
        <is>
          <t>Schut considers front-door 80 mm, headliner and parcel-shelf speakers low-impact for normal music and more relevant for effects/multimedia; user asked to make these six positions optional.</t>
        </is>
      </c>
      <c r="E9" s="120" t="inlineStr">
        <is>
          <t>SUPPLIER OPINION / USER DECISION</t>
        </is>
      </c>
      <c r="F9" s="120" t="inlineStr">
        <is>
          <t>Creates an attractive Core-Music-9 staged purchase: front/center 7 + rear doors 2 first, six effect/immersion positions later.</t>
        </is>
      </c>
      <c r="G9" s="120" t="inlineStr">
        <is>
          <t>Price both Core-9 and Full-15; keep target capability for all 15.</t>
        </is>
      </c>
      <c r="H9" s="120" t="inlineStr">
        <is>
          <t>Acoustic importance is installer opinion, not measured evidence for this exact car.</t>
        </is>
      </c>
    </row>
    <row r="10">
      <c r="A10" s="120" t="inlineStr">
        <is>
          <t>2026-09-08</t>
        </is>
      </c>
      <c r="B10" s="120" t="inlineStr">
        <is>
          <t>Schut Car Systems</t>
        </is>
      </c>
      <c r="C10" s="120" t="inlineStr">
        <is>
          <t>Supplier email</t>
        </is>
      </c>
      <c r="D10" s="120" t="inlineStr">
        <is>
          <t>Schut reports 15.5 V on modern Teslas they have seen and regards the existing Pioneer amp as marginal/outside its 15.1 V maximum; suggests DC-DC or replacement such as MATCH UP 1FX.</t>
        </is>
      </c>
      <c r="E10" s="120" t="inlineStr">
        <is>
          <t>SUPPLIER CLAIM</t>
        </is>
      </c>
      <c r="F10" s="120" t="inlineStr">
        <is>
          <t>The UP 1FX is now independently verified at 10.5–18 V and 1 Ω stability, making it a strong voltage-compatible replacement candidate. However the Pioneer donor drivers appear to be an ultra-low-impedance pair (official regional data: 0.6 Ω ×2 / 0.3 Ω system), so driver wiring/load compatibility must be changed and verified.</t>
        </is>
      </c>
      <c r="G10" s="120" t="inlineStr">
        <is>
          <t>Compare retain-Pioneer/DC-DC versus UP 1FX / HELIX mono replacement; verify loose driver impedance and series wiring before ordering.</t>
        </is>
      </c>
      <c r="H10" s="120" t="inlineStr">
        <is>
          <t>Supplier suggestion now product-spec verified; speaker-load compatibility remains conditional.</t>
        </is>
      </c>
    </row>
    <row r="11">
      <c r="A11" s="120" t="inlineStr">
        <is>
          <t>2026-09-07</t>
        </is>
      </c>
      <c r="B11" s="120" t="inlineStr">
        <is>
          <t>Van Hemert Zaltbommel</t>
        </is>
      </c>
      <c r="C11" s="120" t="inlineStr">
        <is>
          <t>Quotation request</t>
        </is>
      </c>
      <c r="D11" s="120" t="inlineStr">
        <is>
          <t>HELIX/BOXMORE component quote request sent.</t>
        </is>
      </c>
      <c r="E11" s="120" t="inlineStr">
        <is>
          <t>PENDING</t>
        </is>
      </c>
      <c r="F11" s="120" t="inlineStr">
        <is>
          <t>Potential local pickup and dealer support.</t>
        </is>
      </c>
      <c r="G11" s="120" t="inlineStr">
        <is>
          <t>Await response / stock / package price.</t>
        </is>
      </c>
      <c r="H11" s="120" t="inlineStr">
        <is>
          <t>No supplier response captured in package as of 2026-09-10.</t>
        </is>
      </c>
    </row>
    <row r="12">
      <c r="A12" s="120" t="inlineStr">
        <is>
          <t>2026-09-10</t>
        </is>
      </c>
      <c r="B12" s="120" t="inlineStr">
        <is>
          <t>CarHifi-Store Bünde</t>
        </is>
      </c>
      <c r="C12" s="120" t="inlineStr">
        <is>
          <t>Online sourcing + contact</t>
        </is>
      </c>
      <c r="D12" s="120" t="inlineStr">
        <is>
          <t>Genuine HELIX Highland parts and PP-TES harness show strong online availability; V EIGHTEEN currently listed as available in 4 days.</t>
        </is>
      </c>
      <c r="E12" s="120" t="inlineStr">
        <is>
          <t>WEB-VERIFIED / SUPPLIER CONTACT PENDING</t>
        </is>
      </c>
      <c r="F12" s="120" t="inlineStr">
        <is>
          <t>Strong Germany source for genuine HELIX; timing matters because installation week is planned immediately after vehicle pickup.</t>
        </is>
      </c>
      <c r="G12" s="120" t="inlineStr">
        <is>
          <t>Confirm physical stock/reservation/pickup before travel or order.</t>
        </is>
      </c>
      <c r="H12" s="120" t="inlineStr">
        <is>
          <t>Website availability is not the same as a confirmed reservation.</t>
        </is>
      </c>
    </row>
    <row r="13">
      <c r="A13" s="120" t="inlineStr">
        <is>
          <t>2026-09-10</t>
        </is>
      </c>
      <c r="B13" s="120" t="inlineStr">
        <is>
          <t>MB Car Audio</t>
        </is>
      </c>
      <c r="C13" s="120" t="inlineStr">
        <is>
          <t>Supplier follow-up</t>
        </is>
      </c>
      <c r="D13" s="120" t="inlineStr">
        <is>
          <t>MBC requested the vehicle VIN / vehicle identifier so it can perform its own 2026 configuration check before proposing parts. The package deliberately does not store the full VIN.</t>
        </is>
      </c>
      <c r="E13" s="120" t="inlineStr">
        <is>
          <t>SUPPLIER ACTION / PRIVACY-SAFE</t>
        </is>
      </c>
      <c r="F13" s="120" t="inlineStr">
        <is>
          <t>Confirms MBC is still actively verifying exact vehicle configuration rather than closing the request.</t>
        </is>
      </c>
      <c r="G13" s="120" t="inlineStr">
        <is>
          <t>Await MBC verification / itemized component proposal; share only what is necessary outside the package.</t>
        </is>
      </c>
      <c r="H13" s="120" t="inlineStr">
        <is>
          <t>User-confirmed supplier interaction; no VIN included.</t>
        </is>
      </c>
    </row>
    <row r="15">
      <c r="A15" s="15" t="inlineStr">
        <is>
          <t>MB Car Audio</t>
        </is>
      </c>
      <c r="B15" s="15" t="inlineStr">
        <is>
          <t>2026-09-10</t>
        </is>
      </c>
      <c r="C15" s="15" t="inlineStr">
        <is>
          <t>Phone consultation + quote</t>
        </is>
      </c>
      <c r="D15" s="15" t="inlineStr">
        <is>
          <t>AF M8.14 bit front / AF M4D rear / AF M1D likely donor woofers</t>
        </is>
      </c>
      <c r="E15" s="15" t="inlineStr">
        <is>
          <t>CONFIRMED / SUB WIRING TBD</t>
        </is>
      </c>
      <c r="F15" s="15" t="inlineStr">
        <is>
          <t>Use architecture in current comparison; verify sub load before wiring.</t>
        </is>
      </c>
    </row>
    <row r="16">
      <c r="A16" s="15" t="inlineStr">
        <is>
          <t>MB Car Audio</t>
        </is>
      </c>
      <c r="B16" s="15" t="inlineStr">
        <is>
          <t>2026-09-10</t>
        </is>
      </c>
      <c r="C16" s="15" t="inlineStr">
        <is>
          <t>Phone consultation</t>
        </is>
      </c>
      <c r="D16" s="15" t="inlineStr">
        <is>
          <t>Do not install upper/headliner immersive speakers for normal music</t>
        </is>
      </c>
      <c r="E16" s="15" t="inlineStr">
        <is>
          <t>INSTALLER RECOMMENDATION</t>
        </is>
      </c>
      <c r="F16" s="15" t="inlineStr">
        <is>
          <t>Omit X569/X579 from music-first build; preserve dashboard center.</t>
        </is>
      </c>
    </row>
    <row r="17">
      <c r="A17" s="15" t="inlineStr">
        <is>
          <t>MB Car Audio</t>
        </is>
      </c>
      <c r="B17" s="15" t="inlineStr">
        <is>
          <t>2026-09-10</t>
        </is>
      </c>
      <c r="C17" s="15" t="inlineStr">
        <is>
          <t>Phone consultation</t>
        </is>
      </c>
      <c r="D17" s="15" t="inlineStr">
        <is>
          <t>Audison average tuning ~3h vs HELIX ~8h in their experience</t>
        </is>
      </c>
      <c r="E17" s="15" t="inlineStr">
        <is>
          <t>FIELD EXPERIENCE</t>
        </is>
      </c>
      <c r="F17" s="15" t="inlineStr">
        <is>
          <t>Record separately from manufacturer functionality claims.</t>
        </is>
      </c>
    </row>
  </sheetData>
  <autoFilter ref="A4:H12"/>
  <mergeCells count="2">
    <mergeCell ref="A2:H2"/>
    <mergeCell ref="A1:H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7"/>
  <sheetViews>
    <sheetView showGridLines="0" workbookViewId="0">
      <pane ySplit="1" topLeftCell="A2" activePane="bottomLeft" state="frozen"/>
      <selection pane="bottomLeft" activeCell="A1" sqref="A1"/>
    </sheetView>
  </sheetViews>
  <sheetFormatPr baseColWidth="8" defaultRowHeight="15"/>
  <cols>
    <col width="14" customWidth="1" min="1" max="1"/>
    <col width="54" customWidth="1" min="2" max="2"/>
    <col width="24" customWidth="1" min="3" max="3"/>
    <col width="70" customWidth="1" min="4" max="4"/>
    <col width="34" customWidth="1" min="5" max="5"/>
  </cols>
  <sheetData>
    <row r="1">
      <c r="A1" s="75" t="inlineStr">
        <is>
          <t>Date</t>
        </is>
      </c>
      <c r="B1" s="75" t="inlineStr">
        <is>
          <t>Decision</t>
        </is>
      </c>
      <c r="C1" s="75" t="inlineStr">
        <is>
          <t>Status</t>
        </is>
      </c>
      <c r="D1" s="75" t="inlineStr">
        <is>
          <t>Reason / evidence</t>
        </is>
      </c>
      <c r="E1" s="75" t="inlineStr">
        <is>
          <t>Impact</t>
        </is>
      </c>
    </row>
    <row r="2">
      <c r="A2" s="15" t="inlineStr">
        <is>
          <t>2026-09-02</t>
        </is>
      </c>
      <c r="B2" s="15" t="inlineStr">
        <is>
          <t>Retain Audison AF M12.14 bit + DRC MP CAN as current BEST FIT</t>
        </is>
      </c>
      <c r="C2" s="37" t="inlineStr">
        <is>
          <t>LOCKED UNTIL NEW EVIDENCE</t>
        </is>
      </c>
      <c r="D2" s="15" t="inlineStr">
        <is>
          <t>Existing v1.1 recommendation stays within target budget and was never invalidated by the shop search.</t>
        </is>
      </c>
      <c r="E2" s="15" t="inlineStr">
        <is>
          <t>No architecture reset.</t>
        </is>
      </c>
    </row>
    <row r="3">
      <c r="A3" s="15" t="inlineStr">
        <is>
          <t>2026-09-02</t>
        </is>
      </c>
      <c r="B3" s="15" t="inlineStr">
        <is>
          <t>Keep MATCH UP10, HELIX V TWELVE, Focal T3Y, DLS, MUSWAY and ESX alternatives</t>
        </is>
      </c>
      <c r="C3" s="37" t="inlineStr">
        <is>
          <t>PRESERVED</t>
        </is>
      </c>
      <c r="D3" s="15" t="inlineStr">
        <is>
          <t>These were already part of the workbook and remain relevant comparison paths.</t>
        </is>
      </c>
      <c r="E3" s="15" t="inlineStr">
        <is>
          <t>No options removed.</t>
        </is>
      </c>
    </row>
    <row r="4">
      <c r="A4" s="15" t="inlineStr">
        <is>
          <t>2026-09-02</t>
        </is>
      </c>
      <c r="B4" s="15" t="inlineStr">
        <is>
          <t>Add HELIX V EIGHTEEN as premium/full-active alternative</t>
        </is>
      </c>
      <c r="C4" s="19" t="inlineStr">
        <is>
          <t>NEW ALTERNATIVE</t>
        </is>
      </c>
      <c r="D4" s="15" t="inlineStr">
        <is>
          <t>18 amp / 20 DSP channels are attractive for 15 fully active cabin positions, but current €1,799 price pushes the present BOM above €3,500.</t>
        </is>
      </c>
      <c r="E4" s="15" t="inlineStr">
        <is>
          <t>Compare, do not auto-adopt.</t>
        </is>
      </c>
    </row>
    <row r="5">
      <c r="A5" s="15" t="inlineStr">
        <is>
          <t>2026-09-02</t>
        </is>
      </c>
      <c r="B5" s="15" t="inlineStr">
        <is>
          <t>Add PowerBass T3Y + Ground Zero as price/fitment research candidates</t>
        </is>
      </c>
      <c r="C5" s="19" t="inlineStr">
        <is>
          <t>NEW ALTERNATIVE</t>
        </is>
      </c>
      <c r="D5" s="15" t="inlineStr">
        <is>
          <t>PowerBass has explicit Highland-family fitment documentation and EU availability is concentrated in Greece; exact SOP9 15-position completion still needs proof.</t>
        </is>
      </c>
      <c r="E5" s="15" t="inlineStr">
        <is>
          <t>Research only.</t>
        </is>
      </c>
    </row>
    <row r="6">
      <c r="A6" s="15" t="inlineStr">
        <is>
          <t>2026-09-02</t>
        </is>
      </c>
      <c r="B6" s="15" t="inlineStr">
        <is>
          <t>Prefer NL/DE/BE/FR shops; Greece only with external trust/marketplace protection</t>
        </is>
      </c>
      <c r="C6" s="19" t="inlineStr">
        <is>
          <t>PURCHASING RULE</t>
        </is>
      </c>
      <c r="D6" s="15" t="inlineStr">
        <is>
          <t>Matches requested risk preference and simplifies warranty/returns.</t>
        </is>
      </c>
      <c r="E6" s="15" t="inlineStr">
        <is>
          <t>Applied in EU_Shop_Check.</t>
        </is>
      </c>
    </row>
    <row r="7">
      <c r="A7" s="15" t="inlineStr">
        <is>
          <t>2026-09-02</t>
        </is>
      </c>
      <c r="B7" s="15" t="inlineStr">
        <is>
          <t>TESLA SOP9 EPC EVIDENCE</t>
        </is>
      </c>
      <c r="C7" s="15" t="inlineStr">
        <is>
          <t>Retain all v1.2 alternatives. Correct headliner route: X569/X579 are PAUDIO-only; add AUX 2ch amplifier gate instead of assuming OEM headliner channels.</t>
        </is>
      </c>
      <c r="D7" s="15" t="inlineStr">
        <is>
          <t>Audio-LHD option gating + Audio-Premium Amp + HAR connector reference.</t>
        </is>
      </c>
      <c r="E7" s="85" t="inlineStr">
        <is>
          <t>OPEN - AUX amp and physical wire path must be resolved before ordering</t>
        </is>
      </c>
    </row>
    <row r="8">
      <c r="A8" s="15" t="inlineStr">
        <is>
          <t>2026-09-05</t>
        </is>
      </c>
      <c r="B8" s="15" t="inlineStr">
        <is>
          <t>PIONEER TS-WX1220AH DONOR SUBSYSTEM IDENTIFIED</t>
        </is>
      </c>
      <c r="C8" s="15" t="inlineStr">
        <is>
          <t>Reuse 2×30 cm drivers and original 600 W RMS Class-D amp; original enclosure not used; add LV compatibility gate.</t>
        </is>
      </c>
      <c r="D8" s="15" t="inlineStr">
        <is>
          <t>Pioneer official product/install manual + Tesla 15.5 V LV owner manual.</t>
        </is>
      </c>
      <c r="E8" s="98" t="inlineStr">
        <is>
          <t>OPEN - verify/regulate Pioneer supply before direct connection</t>
        </is>
      </c>
    </row>
    <row r="9">
      <c r="A9" s="15" t="inlineStr">
        <is>
          <t>2026-09-06</t>
        </is>
      </c>
      <c r="B9" s="15" t="inlineStr">
        <is>
          <t>ADD FULL HELIX i5-PRIORITY + i7-PRIORITY COMPARISON</t>
        </is>
      </c>
      <c r="C9" s="117" t="inlineStr">
        <is>
          <t>COMPARISON / USER CONSIDERING FULL HELIX</t>
        </is>
      </c>
      <c r="D9" s="15" t="inlineStr">
        <is>
          <t>V EIGHTEEN is the only current HELIX all-in-one DSP amp with enough amplified channels for all 15 cabin speakers. i5/i7 size gaps require mixed Compose families at some positions.</t>
        </is>
      </c>
      <c r="E9" s="15" t="inlineStr">
        <is>
          <t>New HELIX_i5_Setup, HELIX_i7_Setup, HELIX_Comparison and HELIX_Channel_Map sheets; no prior route deleted.</t>
        </is>
      </c>
    </row>
    <row r="10">
      <c r="A10" s="15" t="inlineStr">
        <is>
          <t>2026-09-06</t>
        </is>
      </c>
      <c r="B10" s="15" t="inlineStr">
        <is>
          <t>ADD HELIX BUDGET / STAGED ROUTES</t>
        </is>
      </c>
      <c r="C10" s="15" t="inlineStr">
        <is>
          <t>COMPARISON — NO PRIOR ROUTE DELETED</t>
        </is>
      </c>
      <c r="D10" s="15" t="inlineStr">
        <is>
          <t>DE/BE/FR search shows the main budget lever is the €729 Highland Ci3 package. New V EIGHTEEN route ~€3.61k; NEXT V EIGHT + 206 DIRECT ~€3.52k; V TWELVE staged routes ~€3.31k–€3.95k.</t>
        </is>
      </c>
      <c r="E10" s="15" t="inlineStr">
        <is>
          <t>Prefer V EIGHTEEN for clean long-term full active; use split/12ch routes only to meet budget or stage purchases.</t>
        </is>
      </c>
    </row>
    <row r="11">
      <c r="A11" s="15" t="inlineStr">
        <is>
          <t>2026-09-06</t>
        </is>
      </c>
      <c r="B11" s="15" t="inlineStr">
        <is>
          <t>CURRENT USED V TWELVE SCOUT</t>
        </is>
      </c>
      <c r="C11" s="15" t="inlineStr">
        <is>
          <t>OPTIONAL / TRANSIENT</t>
        </is>
      </c>
      <c r="D11" s="15" t="inlineStr">
        <is>
          <t>Kleinanzeigen search currently indexes a V TWELVE DSP MK2 at €1,050 plus other €1,200–€1,250 examples.</t>
        </is>
      </c>
      <c r="E11" s="15" t="inlineStr">
        <is>
          <t>Can bring 12ch+204 to ~€3.10k or 12ch+206DSP to ~€3.46k; private-sale inspection/warranty risk.</t>
        </is>
      </c>
    </row>
    <row r="12">
      <c r="A12" s="15" t="inlineStr">
        <is>
          <t>2026-09-06</t>
        </is>
      </c>
      <c r="B12" s="15" t="inlineStr">
        <is>
          <t>HELIX BUDGET OPTIMIZATION v1.7</t>
        </is>
      </c>
      <c r="C12" s="15" t="inlineStr">
        <is>
          <t>Keep V EIGHTEEN as clean long-term choice; add split/staged 12-channel and legacy clearance routes. Update used V TWELVE reference from €1,050 to current €1,200.</t>
        </is>
      </c>
      <c r="D12" s="15" t="inlineStr">
        <is>
          <t>Current DE/FR-deliverable web price scan plus Belgian dealer/RRP references.</t>
        </is>
      </c>
      <c r="E12" s="15" t="inlineStr">
        <is>
          <t>OPEN — final choice depends on tolerance for multiple DSP/amp boxes and actual wiring/power quote</t>
        </is>
      </c>
    </row>
    <row r="13">
      <c r="A13" s="15" t="inlineStr">
        <is>
          <t>2026-09-08</t>
        </is>
      </c>
      <c r="B13" s="15" t="inlineStr">
        <is>
          <t>Treat six effect/immersion positions as optional first-stage items</t>
        </is>
      </c>
      <c r="C13" s="15" t="inlineStr">
        <is>
          <t>OPEN / STAGED OPTION</t>
        </is>
      </c>
      <c r="D13" s="15" t="inlineStr">
        <is>
          <t>Schut reports front-door 80 mm, headliner and parcel speakers have little impact on normal music in their experience. User asked for those positions to be optional in the quote.</t>
        </is>
      </c>
      <c r="E13" s="15" t="inlineStr">
        <is>
          <t>Creates Core-Music-9 now / Full-15 later without replacing the V EIGHTEEN.</t>
        </is>
      </c>
    </row>
    <row r="14">
      <c r="A14" s="15" t="inlineStr">
        <is>
          <t>2026-09-09</t>
        </is>
      </c>
      <c r="B14" s="15" t="inlineStr">
        <is>
          <t>Retain physical SOP9 connector verification as a hard checkpoint</t>
        </is>
      </c>
      <c r="C14" s="15" t="inlineStr">
        <is>
          <t>REQUIRED</t>
        </is>
      </c>
      <c r="D14" s="15" t="inlineStr">
        <is>
          <t>MB Car Audio states its available 2026 harness solution may need repinning and it will not guarantee all connector combinations before inspection.</t>
        </is>
      </c>
      <c r="E14" s="15" t="inlineStr">
        <is>
          <t>No-cut architecture remains; purchased harness may be repinned/customized, vehicle loom remains untouched.</t>
        </is>
      </c>
    </row>
    <row r="15">
      <c r="A15" s="15" t="inlineStr">
        <is>
          <t>2026-09-10</t>
        </is>
      </c>
      <c r="B15" s="15" t="inlineStr">
        <is>
          <t>Replace blanket BXE=Ci3 / BXA=Ci5 / BXS=Ci7 identity assumption with exact-SKU comparison</t>
        </is>
      </c>
      <c r="C15" s="15" t="inlineStr">
        <is>
          <t>CORRECTED</t>
        </is>
      </c>
      <c r="D15" s="15" t="inlineStr">
        <is>
          <t>HifiMotive confirms shared development and HELIX Compose collaboration, but published current products can differ in specifications and accessories.</t>
        </is>
      </c>
      <c r="E15" s="15" t="inlineStr">
        <is>
          <t>Prefer genuine HELIX DE for i3/i5 when price is equal/close; selectively consider BOXMORE BXS where savings are material and exact fit/spec is verified.</t>
        </is>
      </c>
    </row>
    <row r="16">
      <c r="A16" s="15" t="inlineStr">
        <is>
          <t>2026-09-10</t>
        </is>
      </c>
      <c r="B16" s="15" t="inlineStr">
        <is>
          <t>HELIX V EIGHTEEN becomes current lead architecture</t>
        </is>
      </c>
      <c r="C16" s="15" t="inlineStr">
        <is>
          <t>CURRENT LEAD</t>
        </is>
      </c>
      <c r="D16" s="15" t="inlineStr">
        <is>
          <t>Current genuine-HELIX value basket puts known Full-15 hardware around €3.63k including existing adapter reserve, while V EIGHTEEN avoids a second cabin amplifier/DSP and preserves 15-channel full-active end state.</t>
        </is>
      </c>
      <c r="E16" s="15" t="inlineStr">
        <is>
          <t>Do not delete Audison or staged 12-channel alternatives; use them as quote/availability fallbacks. K200.2TES4 may be used as the Highland fit/value package, but its passive L/R network must be bypassed/rewired for the final 15 independently amplified channels.</t>
        </is>
      </c>
    </row>
    <row r="17">
      <c r="A17" s="15" t="inlineStr">
        <is>
          <t>2026-09-10</t>
        </is>
      </c>
      <c r="B17" s="15" t="inlineStr">
        <is>
          <t>Pioneer SSR/inrush strategy recorded as field-proven from previous Tesla</t>
        </is>
      </c>
      <c r="C17" s="15" t="inlineStr">
        <is>
          <t>REUSE CONCEPT / RE-ENGINEER VALUES</t>
        </is>
      </c>
      <c r="D17" s="15" t="inlineStr">
        <is>
          <t>User reports direct amplifier connection caused VCFRONT / cannot-maintain-DC-power faults; SSR-based switching solved the previous installation.</t>
        </is>
      </c>
      <c r="E17" s="15" t="inlineStr">
        <is>
          <t>Keep inrush/current switching separate from the 15.5 V vs 15.1 V voltage-compatibility decision. Exact SOP9 source/SSR/precharge values remain TBD.</t>
        </is>
      </c>
    </row>
    <row r="18">
      <c r="A18" s="15" t="inlineStr">
        <is>
          <t>2026-09-10</t>
        </is>
      </c>
      <c r="B18" s="15" t="inlineStr">
        <is>
          <t>ADD SUBWOOFER AMPLIFIER REPLACEMENT ROUTES</t>
        </is>
      </c>
      <c r="C18" s="37" t="inlineStr">
        <is>
          <t>CURRENT COMPARISON</t>
        </is>
      </c>
      <c r="D18" s="15" t="inlineStr">
        <is>
          <t>Schut suggested MATCH UP 1FX; official Audiotec Fischer specs confirm 10.5–18 V and 1 Ω stability. HELIX M ONE/M ONE X alternatives are also added.</t>
        </is>
      </c>
      <c r="E18" s="15" t="inlineStr">
        <is>
          <t>Do not buy replacement amp until donor-driver impedance/wiring is physically verified.</t>
        </is>
      </c>
    </row>
    <row r="19">
      <c r="A19" s="15" t="inlineStr">
        <is>
          <t>2026-09-10</t>
        </is>
      </c>
      <c r="B19" s="15" t="inlineStr">
        <is>
          <t>TREAT PIONEER DRIVER LOAD AS CRITICAL GATE</t>
        </is>
      </c>
      <c r="C19" s="37" t="inlineStr">
        <is>
          <t>REQUIRED</t>
        </is>
      </c>
      <c r="D19" s="15" t="inlineStr">
        <is>
          <t>Pioneer Europe publishes 0.3 Ω complete-system impedance; official Pioneer regional data publishes 0.6 Ω ×2. This is consistent with a parallel pair but must be verified on the loose drivers.</t>
        </is>
      </c>
      <c r="E19" s="15" t="inlineStr">
        <is>
          <t>All 1 Ω-stable replacement amps require a different load topology, likely series (~1.2 Ω nominal if 0.6 Ω each). Original ~0.3 Ω parallel wiring is prohibited for these candidates.</t>
        </is>
      </c>
    </row>
    <row r="20">
      <c r="A20" s="15" t="inlineStr">
        <is>
          <t>2026-09-10</t>
        </is>
      </c>
      <c r="B20" s="15" t="inlineStr">
        <is>
          <t>MATCH UP 1FX IS PREFERRED REPLACEMENT CANDIDATE</t>
        </is>
      </c>
      <c r="C20" s="37" t="inlineStr">
        <is>
          <t>CONDITIONAL</t>
        </is>
      </c>
      <c r="D20" s="15" t="inlineStr">
        <is>
          <t>At €299 it has 10.5–18 V supply tolerance and 1 Ω stability, giving more Tesla-LV voltage headroom than HELIX M ONE/M ONE X at 10.5–16 V.</t>
        </is>
      </c>
      <c r="E20" s="15" t="inlineStr">
        <is>
          <t>Full-15 planning total becomes €3,930.98 with DIRECTOR/reserve or €3,681.98 with DIRECTOR deferred, before power/fusing/custom wiring.</t>
        </is>
      </c>
    </row>
    <row r="21">
      <c r="A21" s="15" t="inlineStr">
        <is>
          <t>2026-09-10</t>
        </is>
      </c>
      <c r="B21" s="15" t="inlineStr">
        <is>
          <t>ASSET COLLECTOR v1.1.2 — FAST ZIP GENERATION</t>
        </is>
      </c>
      <c r="C21" s="37" t="inlineStr">
        <is>
          <t>IMPLEMENTED / PACKAGE PATCH</t>
        </is>
      </c>
      <c r="D21" s="15" t="inlineStr">
        <is>
          <t>Browser run reached “Creating ZIP” but could remain there. Collector had forced DEFLATE level 6 and streamFiles=true. v1.1.2 uses STORE, streamFiles=false, Uint8Array output, a ZIP heartbeat and per-fetch AbortController timeout.</t>
        </is>
      </c>
      <c r="E21" s="15" t="inlineStr">
        <is>
          <t>Collector output stays manifest-schema-v2 compatible with EPC ZIP import; expect a larger but much faster/more reliable archive.</t>
        </is>
      </c>
    </row>
    <row r="22">
      <c r="A22" s="15" t="inlineStr">
        <is>
          <t>2026-09-10</t>
        </is>
      </c>
      <c r="B22" s="15" t="inlineStr">
        <is>
          <t>V2.0 FINAL ASSET-INTEGRATED RELEASE</t>
        </is>
      </c>
      <c r="C22" s="37" t="inlineStr">
        <is>
          <t>ENGINEERING REFERENCE COMPLETE</t>
        </is>
      </c>
      <c r="D22" s="15" t="inlineStr">
        <is>
          <t>Collector output contains 241 manifest assets and all 241 pass byte-size/SHA-256 verification. All 15 target speaker connectors have metadata and faceviews; combined target location coverage is 14/15 with X566 visual-only gap.</t>
        </is>
      </c>
      <c r="E22" s="15" t="inlineStr">
        <is>
          <t>Use v2.0 as the baseline. Do not confuse reference completeness with confirmation that every PAUDIO connector/speaker mount is physically populated in this exact delivered vehicle.</t>
        </is>
      </c>
    </row>
    <row r="23">
      <c r="A23" s="15" t="inlineStr">
        <is>
          <t>2026-09-10</t>
        </is>
      </c>
      <c r="B23" s="15" t="inlineStr">
        <is>
          <t>Add actual MB Car Audio Audison/Focal hardware quote</t>
        </is>
      </c>
      <c r="C23" s="15" t="inlineStr">
        <is>
          <t>EVIDENCE / CURRENT PROPOSAL</t>
        </is>
      </c>
      <c r="D23" s="15" t="inlineStr">
        <is>
          <t>€4,010.90 hardware only; DIY install; excludes cabling/damping/consumables.</t>
        </is>
      </c>
      <c r="E23" s="15" t="inlineStr">
        <is>
          <t>OPEN BUY DECISION</t>
        </is>
      </c>
    </row>
    <row r="24">
      <c r="A24" s="15" t="inlineStr">
        <is>
          <t>2026-09-10</t>
        </is>
      </c>
      <c r="B24" s="15" t="inlineStr">
        <is>
          <t>Map MB architecture front/rear/sub</t>
        </is>
      </c>
      <c r="C24" s="15" t="inlineStr">
        <is>
          <t>CONFIRMED INSTALLER INPUT</t>
        </is>
      </c>
      <c r="D24" s="15" t="inlineStr">
        <is>
          <t>AF M8.14 front; AF M4D rear; AF M1D donor sub candidate.</t>
        </is>
      </c>
      <c r="E24" s="15" t="inlineStr">
        <is>
          <t>USE IN COMPARISON</t>
        </is>
      </c>
    </row>
    <row r="25">
      <c r="A25" s="15" t="inlineStr">
        <is>
          <t>2026-09-10</t>
        </is>
      </c>
      <c r="B25" s="15" t="inlineStr">
        <is>
          <t>Omit X569/X579 upper/headliner immersive speakers for music</t>
        </is>
      </c>
      <c r="C25" s="15" t="inlineStr">
        <is>
          <t>TWO-INSTALLER RECOMMENDATION</t>
        </is>
      </c>
      <c r="D25" s="15" t="inlineStr">
        <is>
          <t>Independent installer advice aligns: little OEM music use and likely heavily attenuated after tuning. Dashboard center X595 remains separate/retained.</t>
        </is>
      </c>
      <c r="E25" s="15" t="inlineStr">
        <is>
          <t>CURRENT MUSIC DESIGN</t>
        </is>
      </c>
    </row>
    <row r="26">
      <c r="A26" s="15" t="inlineStr">
        <is>
          <t>2026-09-10</t>
        </is>
      </c>
      <c r="B26" s="15" t="inlineStr">
        <is>
          <t>Correct HELIX tuning automation characterization</t>
        </is>
      </c>
      <c r="C26" s="15" t="inlineStr">
        <is>
          <t>RESEARCH CORRECTION</t>
        </is>
      </c>
      <c r="D26" s="15" t="inlineStr">
        <is>
          <t>HELIX DSP PC-Tool 6 has meaningful automation; Audison ACCORDO remains more integrated/full automatic. MB observed ~3h vs ~8h.</t>
        </is>
      </c>
      <c r="E26" s="15" t="inlineStr">
        <is>
          <t>USE NUANCED CLAIM</t>
        </is>
      </c>
    </row>
    <row r="27">
      <c r="A27" s="15" t="inlineStr">
        <is>
          <t>2026-09-10</t>
        </is>
      </c>
      <c r="B27" s="15" t="inlineStr">
        <is>
          <t>Add NL/DE/BE/FR price matrix</t>
        </is>
      </c>
      <c r="C27" s="15" t="inlineStr">
        <is>
          <t>PROCUREMENT</t>
        </is>
      </c>
      <c r="D27" s="15" t="inlineStr">
        <is>
          <t>Compare split-buy savings against single-supplier convenience/warranty.</t>
        </is>
      </c>
      <c r="E27" s="15" t="inlineStr">
        <is>
          <t>CHECKOUT BEFORE ORDER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28" customWidth="1" min="3" max="3"/>
    <col width="17" customWidth="1" min="4" max="4"/>
    <col width="24" customWidth="1" min="5" max="5"/>
    <col width="9" customWidth="1" min="6" max="6"/>
    <col width="19" customWidth="1" min="7" max="7"/>
    <col width="8" customWidth="1" min="8" max="8"/>
    <col width="27" customWidth="1" min="9" max="9"/>
    <col width="12" customWidth="1" min="10" max="10"/>
    <col width="12" customWidth="1" min="11" max="11"/>
    <col width="18" customWidth="1" min="12" max="12"/>
    <col width="13" customWidth="1" min="13" max="13"/>
    <col width="25" customWidth="1" min="14" max="14"/>
    <col width="34" customWidth="1" min="15" max="15"/>
    <col width="17" customWidth="1" min="16" max="16"/>
    <col width="18" customWidth="1" min="17" max="17"/>
    <col width="38" customWidth="1" min="18" max="18"/>
    <col width="31" customWidth="1" min="19" max="19"/>
    <col width="42" customWidth="1" min="20" max="20"/>
  </cols>
  <sheetData>
    <row r="1">
      <c r="A1" s="76" t="inlineStr">
        <is>
          <t>ID</t>
        </is>
      </c>
      <c r="B1" s="76" t="inlineStr">
        <is>
          <t>Physical speaker</t>
        </is>
      </c>
      <c r="C1" s="76" t="inlineStr">
        <is>
          <t>Topology status</t>
        </is>
      </c>
      <c r="D1" s="76" t="inlineStr">
        <is>
          <t>Endpoint connector</t>
        </is>
      </c>
      <c r="E1" s="76" t="inlineStr">
        <is>
          <t>Connector housing Tesla PN</t>
        </is>
      </c>
      <c r="F1" s="76" t="inlineStr">
        <is>
          <t>Harness</t>
        </is>
      </c>
      <c r="G1" s="76" t="inlineStr">
        <is>
          <t>Harness name</t>
        </is>
      </c>
      <c r="H1" s="76" t="inlineStr">
        <is>
          <t>Cavity</t>
        </is>
      </c>
      <c r="I1" s="76" t="inlineStr">
        <is>
          <t>Signal</t>
        </is>
      </c>
      <c r="J1" s="76" t="inlineStr">
        <is>
          <t>Wire color</t>
        </is>
      </c>
      <c r="K1" s="76" t="inlineStr">
        <is>
          <t>Wire size mm2</t>
        </is>
      </c>
      <c r="L1" s="76" t="inlineStr">
        <is>
          <t>Destination connector</t>
        </is>
      </c>
      <c r="M1" s="76" t="inlineStr">
        <is>
          <t>Destination pin</t>
        </is>
      </c>
      <c r="N1" s="76" t="inlineStr">
        <is>
          <t>Destination device</t>
        </is>
      </c>
      <c r="O1" s="76" t="inlineStr">
        <is>
          <t>Factory source / option</t>
        </is>
      </c>
      <c r="P1" s="76" t="inlineStr">
        <is>
          <t>Premium Amp pins</t>
        </is>
      </c>
      <c r="Q1" s="76" t="inlineStr">
        <is>
          <t>BAUDIO base variant</t>
        </is>
      </c>
      <c r="R1" s="76" t="inlineStr">
        <is>
          <t>Current recommended driver</t>
        </is>
      </c>
      <c r="S1" s="76" t="inlineStr">
        <is>
          <t>Current aftermarket feed</t>
        </is>
      </c>
      <c r="T1" s="76" t="inlineStr">
        <is>
          <t>Source note</t>
        </is>
      </c>
    </row>
    <row r="2">
      <c r="A2" s="78" t="inlineStr">
        <is>
          <t>SPK01</t>
        </is>
      </c>
      <c r="B2" s="78" t="inlineStr">
        <is>
          <t>Front left premium woofer</t>
        </is>
      </c>
      <c r="C2" s="78" t="inlineStr">
        <is>
          <t>PAUDIO target / replaces BAUDIO X568</t>
        </is>
      </c>
      <c r="D2" s="78" t="inlineStr">
        <is>
          <t>X567</t>
        </is>
      </c>
      <c r="E2" s="78" t="inlineStr">
        <is>
          <t>1075244-00-A</t>
        </is>
      </c>
      <c r="F2" s="78" t="inlineStr">
        <is>
          <t>D</t>
        </is>
      </c>
      <c r="G2" s="78" t="inlineStr">
        <is>
          <t>Front Door Left</t>
        </is>
      </c>
      <c r="H2" s="78" t="inlineStr">
        <is>
          <t>1</t>
        </is>
      </c>
      <c r="I2" s="78" t="inlineStr">
        <is>
          <t>Speaker P</t>
        </is>
      </c>
      <c r="J2" s="78" t="inlineStr">
        <is>
          <t>YE</t>
        </is>
      </c>
      <c r="K2" s="78" t="inlineStr">
        <is>
          <t>1.5x0.8F</t>
        </is>
      </c>
      <c r="L2" s="78" t="inlineStr">
        <is>
          <t>X033B</t>
        </is>
      </c>
      <c r="M2" s="78" t="inlineStr">
        <is>
          <t>3</t>
        </is>
      </c>
      <c r="N2" s="78" t="inlineStr">
        <is>
          <t>Body Controller Left</t>
        </is>
      </c>
      <c r="O2" s="78" t="inlineStr">
        <is>
          <t>PAUDIO Premium Amp</t>
        </is>
      </c>
      <c r="P2" s="78" t="inlineStr">
        <is>
          <t>X561-7/8</t>
        </is>
      </c>
      <c r="Q2" s="78" t="inlineStr">
        <is>
          <t>X568</t>
        </is>
      </c>
      <c r="R2" s="78" t="inlineStr">
        <is>
          <t>HELIX Ci3 W200FM-S3</t>
        </is>
      </c>
      <c r="S2" s="78" t="inlineStr">
        <is>
          <t>AUD CH1</t>
        </is>
      </c>
      <c r="T2" s="78" t="inlineStr">
        <is>
          <t>Tesla SOP9 HAR connector export + Audio-LHD / Premium Amp captured sources</t>
        </is>
      </c>
    </row>
    <row r="3">
      <c r="A3" s="15" t="inlineStr"/>
      <c r="B3" s="15" t="inlineStr"/>
      <c r="C3" s="15" t="inlineStr"/>
      <c r="D3" s="15" t="inlineStr"/>
      <c r="E3" s="15" t="inlineStr"/>
      <c r="F3" s="15" t="inlineStr"/>
      <c r="G3" s="15" t="inlineStr"/>
      <c r="H3" s="15" t="inlineStr">
        <is>
          <t>2</t>
        </is>
      </c>
      <c r="I3" s="15" t="inlineStr">
        <is>
          <t>Speaker N</t>
        </is>
      </c>
      <c r="J3" s="15" t="inlineStr">
        <is>
          <t>BU</t>
        </is>
      </c>
      <c r="K3" s="15" t="inlineStr">
        <is>
          <t>1.5x0.8F</t>
        </is>
      </c>
      <c r="L3" s="15" t="inlineStr">
        <is>
          <t>X033B</t>
        </is>
      </c>
      <c r="M3" s="15" t="inlineStr">
        <is>
          <t>4</t>
        </is>
      </c>
      <c r="N3" s="15" t="inlineStr">
        <is>
          <t>Body Controller Left</t>
        </is>
      </c>
      <c r="O3" s="15" t="inlineStr"/>
      <c r="P3" s="15" t="inlineStr"/>
      <c r="Q3" s="15" t="inlineStr"/>
      <c r="R3" s="15" t="inlineStr"/>
      <c r="S3" s="15" t="inlineStr"/>
      <c r="T3" s="15" t="inlineStr"/>
    </row>
    <row r="4">
      <c r="A4" s="78" t="inlineStr">
        <is>
          <t>SPK02</t>
        </is>
      </c>
      <c r="B4" s="78" t="inlineStr">
        <is>
          <t>Front right premium woofer</t>
        </is>
      </c>
      <c r="C4" s="78" t="inlineStr">
        <is>
          <t>PAUDIO target / replaces BAUDIO X578</t>
        </is>
      </c>
      <c r="D4" s="78" t="inlineStr">
        <is>
          <t>X577</t>
        </is>
      </c>
      <c r="E4" s="78" t="inlineStr">
        <is>
          <t>1075244-00-A</t>
        </is>
      </c>
      <c r="F4" s="78" t="inlineStr">
        <is>
          <t>P</t>
        </is>
      </c>
      <c r="G4" s="78" t="inlineStr">
        <is>
          <t>Front Door Right</t>
        </is>
      </c>
      <c r="H4" s="78" t="inlineStr">
        <is>
          <t>1</t>
        </is>
      </c>
      <c r="I4" s="78" t="inlineStr">
        <is>
          <t>Speaker P</t>
        </is>
      </c>
      <c r="J4" s="78" t="inlineStr">
        <is>
          <t>YE</t>
        </is>
      </c>
      <c r="K4" s="78" t="inlineStr">
        <is>
          <t>1.5x0.8F</t>
        </is>
      </c>
      <c r="L4" s="78" t="inlineStr">
        <is>
          <t>X053B</t>
        </is>
      </c>
      <c r="M4" s="78" t="inlineStr">
        <is>
          <t>2</t>
        </is>
      </c>
      <c r="N4" s="78" t="inlineStr">
        <is>
          <t>Body Controller Right</t>
        </is>
      </c>
      <c r="O4" s="78" t="inlineStr">
        <is>
          <t>PAUDIO Premium Amp</t>
        </is>
      </c>
      <c r="P4" s="78" t="inlineStr">
        <is>
          <t>X561-1/2</t>
        </is>
      </c>
      <c r="Q4" s="78" t="inlineStr">
        <is>
          <t>X578</t>
        </is>
      </c>
      <c r="R4" s="78" t="inlineStr">
        <is>
          <t>HELIX Ci3 W200FM-S3</t>
        </is>
      </c>
      <c r="S4" s="78" t="inlineStr">
        <is>
          <t>AUD CH2</t>
        </is>
      </c>
      <c r="T4" s="78" t="inlineStr">
        <is>
          <t>Tesla SOP9 HAR connector export + Audio-LHD / Premium Amp captured sources</t>
        </is>
      </c>
    </row>
    <row r="5">
      <c r="A5" s="15" t="inlineStr"/>
      <c r="B5" s="15" t="inlineStr"/>
      <c r="C5" s="15" t="inlineStr"/>
      <c r="D5" s="15" t="inlineStr"/>
      <c r="E5" s="15" t="inlineStr"/>
      <c r="F5" s="15" t="inlineStr"/>
      <c r="G5" s="15" t="inlineStr"/>
      <c r="H5" s="15" t="inlineStr">
        <is>
          <t>2</t>
        </is>
      </c>
      <c r="I5" s="15" t="inlineStr">
        <is>
          <t>Speaker N</t>
        </is>
      </c>
      <c r="J5" s="15" t="inlineStr">
        <is>
          <t>BU</t>
        </is>
      </c>
      <c r="K5" s="15" t="inlineStr">
        <is>
          <t>1.5x0.8F</t>
        </is>
      </c>
      <c r="L5" s="15" t="inlineStr">
        <is>
          <t>X053B</t>
        </is>
      </c>
      <c r="M5" s="15" t="inlineStr">
        <is>
          <t>1</t>
        </is>
      </c>
      <c r="N5" s="15" t="inlineStr">
        <is>
          <t>Body Controller Right</t>
        </is>
      </c>
      <c r="O5" s="15" t="inlineStr"/>
      <c r="P5" s="15" t="inlineStr"/>
      <c r="Q5" s="15" t="inlineStr"/>
      <c r="R5" s="15" t="inlineStr"/>
      <c r="S5" s="15" t="inlineStr"/>
      <c r="T5" s="15" t="inlineStr"/>
    </row>
    <row r="6">
      <c r="A6" s="86" t="inlineStr">
        <is>
          <t>SPK03</t>
        </is>
      </c>
      <c r="B6" s="86" t="inlineStr">
        <is>
          <t>Front left tweeter</t>
        </is>
      </c>
      <c r="C6" s="86" t="inlineStr">
        <is>
          <t>Existing BAUDIO / replace driver</t>
        </is>
      </c>
      <c r="D6" s="86" t="inlineStr">
        <is>
          <t>X565</t>
        </is>
      </c>
      <c r="E6" s="86" t="inlineStr">
        <is>
          <t>1015004-00-B</t>
        </is>
      </c>
      <c r="F6" s="86" t="inlineStr">
        <is>
          <t>DT</t>
        </is>
      </c>
      <c r="G6" s="86" t="inlineStr">
        <is>
          <t>Front Door Trim</t>
        </is>
      </c>
      <c r="H6" s="86" t="inlineStr">
        <is>
          <t>1</t>
        </is>
      </c>
      <c r="I6" s="86" t="inlineStr">
        <is>
          <t>Speaker P</t>
        </is>
      </c>
      <c r="J6" s="86" t="inlineStr">
        <is>
          <t>VT</t>
        </is>
      </c>
      <c r="K6" s="86" t="inlineStr">
        <is>
          <t>0.64x0.64F</t>
        </is>
      </c>
      <c r="L6" s="86" t="inlineStr">
        <is>
          <t>X922F</t>
        </is>
      </c>
      <c r="M6" s="86" t="inlineStr">
        <is>
          <t>1</t>
        </is>
      </c>
      <c r="N6" s="86" t="inlineStr"/>
      <c r="O6" s="86" t="inlineStr">
        <is>
          <t>BAUDIO MCU / pass-through</t>
        </is>
      </c>
      <c r="P6" s="86" t="inlineStr"/>
      <c r="Q6" s="86" t="inlineStr"/>
      <c r="R6" s="86" t="inlineStr">
        <is>
          <t>HELIX T20FM-TI (Highland kit)</t>
        </is>
      </c>
      <c r="S6" s="86" t="inlineStr">
        <is>
          <t>AUD CH3 via passive XO with SPK05</t>
        </is>
      </c>
      <c r="T6" s="86" t="inlineStr">
        <is>
          <t>Tesla SOP9 HAR connector export + Audio-LHD / Premium Amp captured sources</t>
        </is>
      </c>
    </row>
    <row r="7">
      <c r="A7" s="15" t="inlineStr"/>
      <c r="B7" s="15" t="inlineStr"/>
      <c r="C7" s="15" t="inlineStr"/>
      <c r="D7" s="15" t="inlineStr"/>
      <c r="E7" s="15" t="inlineStr"/>
      <c r="F7" s="15" t="inlineStr"/>
      <c r="G7" s="15" t="inlineStr"/>
      <c r="H7" s="15" t="inlineStr">
        <is>
          <t>2</t>
        </is>
      </c>
      <c r="I7" s="15" t="inlineStr">
        <is>
          <t>Speaker N</t>
        </is>
      </c>
      <c r="J7" s="15" t="inlineStr">
        <is>
          <t>BU</t>
        </is>
      </c>
      <c r="K7" s="15" t="inlineStr">
        <is>
          <t>0.64x0.64F</t>
        </is>
      </c>
      <c r="L7" s="15" t="inlineStr">
        <is>
          <t>X922F</t>
        </is>
      </c>
      <c r="M7" s="15" t="inlineStr">
        <is>
          <t>12</t>
        </is>
      </c>
      <c r="N7" s="15" t="inlineStr"/>
      <c r="O7" s="15" t="inlineStr"/>
      <c r="P7" s="15" t="inlineStr"/>
      <c r="Q7" s="15" t="inlineStr"/>
      <c r="R7" s="15" t="inlineStr"/>
      <c r="S7" s="15" t="inlineStr"/>
      <c r="T7" s="15" t="inlineStr"/>
    </row>
    <row r="8">
      <c r="A8" s="86" t="inlineStr">
        <is>
          <t>SPK04</t>
        </is>
      </c>
      <c r="B8" s="86" t="inlineStr">
        <is>
          <t>Front right tweeter</t>
        </is>
      </c>
      <c r="C8" s="86" t="inlineStr">
        <is>
          <t>Existing BAUDIO / replace driver</t>
        </is>
      </c>
      <c r="D8" s="86" t="inlineStr">
        <is>
          <t>X575</t>
        </is>
      </c>
      <c r="E8" s="86" t="inlineStr">
        <is>
          <t>1015004-00-B</t>
        </is>
      </c>
      <c r="F8" s="86" t="inlineStr">
        <is>
          <t>DT</t>
        </is>
      </c>
      <c r="G8" s="86" t="inlineStr">
        <is>
          <t>Front Door Trim</t>
        </is>
      </c>
      <c r="H8" s="86" t="inlineStr">
        <is>
          <t>1</t>
        </is>
      </c>
      <c r="I8" s="86" t="inlineStr">
        <is>
          <t>Speaker P</t>
        </is>
      </c>
      <c r="J8" s="86" t="inlineStr">
        <is>
          <t>VT</t>
        </is>
      </c>
      <c r="K8" s="86" t="inlineStr">
        <is>
          <t>0.64x0.64F</t>
        </is>
      </c>
      <c r="L8" s="86" t="inlineStr">
        <is>
          <t>X923F</t>
        </is>
      </c>
      <c r="M8" s="86" t="inlineStr">
        <is>
          <t>1</t>
        </is>
      </c>
      <c r="N8" s="86" t="inlineStr"/>
      <c r="O8" s="86" t="inlineStr">
        <is>
          <t>BAUDIO MCU / pass-through</t>
        </is>
      </c>
      <c r="P8" s="86" t="inlineStr"/>
      <c r="Q8" s="86" t="inlineStr"/>
      <c r="R8" s="86" t="inlineStr">
        <is>
          <t>HELIX T20FM-TI (Highland kit)</t>
        </is>
      </c>
      <c r="S8" s="86" t="inlineStr">
        <is>
          <t>AUD CH4 via passive XO with SPK07</t>
        </is>
      </c>
      <c r="T8" s="86" t="inlineStr">
        <is>
          <t>Tesla SOP9 HAR connector export + Audio-LHD / Premium Amp captured sources</t>
        </is>
      </c>
    </row>
    <row r="9">
      <c r="A9" s="15" t="inlineStr"/>
      <c r="B9" s="15" t="inlineStr"/>
      <c r="C9" s="15" t="inlineStr"/>
      <c r="D9" s="15" t="inlineStr"/>
      <c r="E9" s="15" t="inlineStr"/>
      <c r="F9" s="15" t="inlineStr"/>
      <c r="G9" s="15" t="inlineStr"/>
      <c r="H9" s="15" t="inlineStr">
        <is>
          <t>2</t>
        </is>
      </c>
      <c r="I9" s="15" t="inlineStr">
        <is>
          <t>Speaker N</t>
        </is>
      </c>
      <c r="J9" s="15" t="inlineStr">
        <is>
          <t>BU</t>
        </is>
      </c>
      <c r="K9" s="15" t="inlineStr">
        <is>
          <t>0.64x0.64F</t>
        </is>
      </c>
      <c r="L9" s="15" t="inlineStr">
        <is>
          <t>X923F</t>
        </is>
      </c>
      <c r="M9" s="15" t="inlineStr">
        <is>
          <t>12</t>
        </is>
      </c>
      <c r="N9" s="15" t="inlineStr"/>
      <c r="O9" s="15" t="inlineStr"/>
      <c r="P9" s="15" t="inlineStr"/>
      <c r="Q9" s="15" t="inlineStr"/>
      <c r="R9" s="15" t="inlineStr"/>
      <c r="S9" s="15" t="inlineStr"/>
      <c r="T9" s="15" t="inlineStr"/>
    </row>
    <row r="10">
      <c r="A10" s="86" t="inlineStr">
        <is>
          <t>SPK05</t>
        </is>
      </c>
      <c r="B10" s="86" t="inlineStr">
        <is>
          <t>Instrument panel left</t>
        </is>
      </c>
      <c r="C10" s="86" t="inlineStr">
        <is>
          <t>Existing BAUDIO / replace driver</t>
        </is>
      </c>
      <c r="D10" s="86" t="inlineStr">
        <is>
          <t>X566</t>
        </is>
      </c>
      <c r="E10" s="86" t="inlineStr">
        <is>
          <t>1679742-00-A</t>
        </is>
      </c>
      <c r="F10" s="86" t="inlineStr">
        <is>
          <t>J</t>
        </is>
      </c>
      <c r="G10" s="86" t="inlineStr">
        <is>
          <t>IP</t>
        </is>
      </c>
      <c r="H10" s="86" t="inlineStr">
        <is>
          <t>1</t>
        </is>
      </c>
      <c r="I10" s="86" t="inlineStr">
        <is>
          <t>Speaker P</t>
        </is>
      </c>
      <c r="J10" s="86" t="inlineStr">
        <is>
          <t>YE</t>
        </is>
      </c>
      <c r="K10" s="86" t="inlineStr">
        <is>
          <t>0.64x0.64F</t>
        </is>
      </c>
      <c r="L10" s="86" t="inlineStr">
        <is>
          <t>X055</t>
        </is>
      </c>
      <c r="M10" s="86" t="inlineStr">
        <is>
          <t>37</t>
        </is>
      </c>
      <c r="N10" s="86" t="inlineStr">
        <is>
          <t>Body Controller Right</t>
        </is>
      </c>
      <c r="O10" s="86" t="inlineStr">
        <is>
          <t>BAUDIO MCU</t>
        </is>
      </c>
      <c r="P10" s="86" t="inlineStr"/>
      <c r="Q10" s="86" t="inlineStr"/>
      <c r="R10" s="86" t="inlineStr">
        <is>
          <t>HELIX Ci3 M100FM-S3 (Highland kit)</t>
        </is>
      </c>
      <c r="S10" s="86" t="inlineStr">
        <is>
          <t>AUD CH3 via passive XO with SPK03</t>
        </is>
      </c>
      <c r="T10" s="86" t="inlineStr">
        <is>
          <t>Tesla SOP9 HAR connector export + Audio-LHD / Premium Amp captured sources</t>
        </is>
      </c>
    </row>
    <row r="11">
      <c r="A11" s="15" t="inlineStr"/>
      <c r="B11" s="15" t="inlineStr"/>
      <c r="C11" s="15" t="inlineStr"/>
      <c r="D11" s="15" t="inlineStr"/>
      <c r="E11" s="15" t="inlineStr"/>
      <c r="F11" s="15" t="inlineStr"/>
      <c r="G11" s="15" t="inlineStr"/>
      <c r="H11" s="15" t="inlineStr">
        <is>
          <t>2</t>
        </is>
      </c>
      <c r="I11" s="15" t="inlineStr">
        <is>
          <t>Speaker N</t>
        </is>
      </c>
      <c r="J11" s="15" t="inlineStr">
        <is>
          <t>VT</t>
        </is>
      </c>
      <c r="K11" s="15" t="inlineStr">
        <is>
          <t>0.64x0.64F</t>
        </is>
      </c>
      <c r="L11" s="15" t="inlineStr">
        <is>
          <t>X055</t>
        </is>
      </c>
      <c r="M11" s="15" t="inlineStr">
        <is>
          <t>38</t>
        </is>
      </c>
      <c r="N11" s="15" t="inlineStr">
        <is>
          <t>Body Controller Right</t>
        </is>
      </c>
      <c r="O11" s="15" t="inlineStr"/>
      <c r="P11" s="15" t="inlineStr"/>
      <c r="Q11" s="15" t="inlineStr"/>
      <c r="R11" s="15" t="inlineStr"/>
      <c r="S11" s="15" t="inlineStr"/>
      <c r="T11" s="15" t="inlineStr"/>
    </row>
    <row r="12">
      <c r="A12" s="86" t="inlineStr">
        <is>
          <t>SPK06</t>
        </is>
      </c>
      <c r="B12" s="86" t="inlineStr">
        <is>
          <t>Instrument panel center</t>
        </is>
      </c>
      <c r="C12" s="86" t="inlineStr">
        <is>
          <t>Existing BAUDIO / replace driver</t>
        </is>
      </c>
      <c r="D12" s="86" t="inlineStr">
        <is>
          <t>X595</t>
        </is>
      </c>
      <c r="E12" s="86" t="inlineStr">
        <is>
          <t>1679742-00-A</t>
        </is>
      </c>
      <c r="F12" s="86" t="inlineStr">
        <is>
          <t>J</t>
        </is>
      </c>
      <c r="G12" s="86" t="inlineStr">
        <is>
          <t>IP</t>
        </is>
      </c>
      <c r="H12" s="86" t="inlineStr">
        <is>
          <t>1</t>
        </is>
      </c>
      <c r="I12" s="86" t="inlineStr">
        <is>
          <t>Speaker P</t>
        </is>
      </c>
      <c r="J12" s="86" t="inlineStr">
        <is>
          <t>GY</t>
        </is>
      </c>
      <c r="K12" s="86" t="inlineStr">
        <is>
          <t>0.64x0.64F</t>
        </is>
      </c>
      <c r="L12" s="86" t="inlineStr">
        <is>
          <t>X055</t>
        </is>
      </c>
      <c r="M12" s="86" t="inlineStr">
        <is>
          <t>39</t>
        </is>
      </c>
      <c r="N12" s="86" t="inlineStr">
        <is>
          <t>Body Controller Right</t>
        </is>
      </c>
      <c r="O12" s="86" t="inlineStr">
        <is>
          <t>BAUDIO MCU</t>
        </is>
      </c>
      <c r="P12" s="86" t="inlineStr"/>
      <c r="Q12" s="86" t="inlineStr"/>
      <c r="R12" s="86" t="inlineStr">
        <is>
          <t>HELIX Ci3 C100.2FM-S3 (Highland kit)</t>
        </is>
      </c>
      <c r="S12" s="86" t="inlineStr">
        <is>
          <t>AUD CH5</t>
        </is>
      </c>
      <c r="T12" s="86" t="inlineStr">
        <is>
          <t>Tesla SOP9 HAR connector export + Audio-LHD / Premium Amp captured sources</t>
        </is>
      </c>
    </row>
    <row r="13">
      <c r="A13" s="15" t="inlineStr"/>
      <c r="B13" s="15" t="inlineStr"/>
      <c r="C13" s="15" t="inlineStr"/>
      <c r="D13" s="15" t="inlineStr"/>
      <c r="E13" s="15" t="inlineStr"/>
      <c r="F13" s="15" t="inlineStr"/>
      <c r="G13" s="15" t="inlineStr"/>
      <c r="H13" s="15" t="inlineStr">
        <is>
          <t>2</t>
        </is>
      </c>
      <c r="I13" s="15" t="inlineStr">
        <is>
          <t>Speaker N</t>
        </is>
      </c>
      <c r="J13" s="15" t="inlineStr">
        <is>
          <t>BU</t>
        </is>
      </c>
      <c r="K13" s="15" t="inlineStr">
        <is>
          <t>0.64x0.64F</t>
        </is>
      </c>
      <c r="L13" s="15" t="inlineStr">
        <is>
          <t>X055</t>
        </is>
      </c>
      <c r="M13" s="15" t="inlineStr">
        <is>
          <t>40</t>
        </is>
      </c>
      <c r="N13" s="15" t="inlineStr">
        <is>
          <t>Body Controller Right</t>
        </is>
      </c>
      <c r="O13" s="15" t="inlineStr"/>
      <c r="P13" s="15" t="inlineStr"/>
      <c r="Q13" s="15" t="inlineStr"/>
      <c r="R13" s="15" t="inlineStr"/>
      <c r="S13" s="15" t="inlineStr"/>
      <c r="T13" s="15" t="inlineStr"/>
    </row>
    <row r="14">
      <c r="A14" s="86" t="inlineStr">
        <is>
          <t>SPK07</t>
        </is>
      </c>
      <c r="B14" s="86" t="inlineStr">
        <is>
          <t>Instrument panel right</t>
        </is>
      </c>
      <c r="C14" s="86" t="inlineStr">
        <is>
          <t>Existing BAUDIO / replace driver</t>
        </is>
      </c>
      <c r="D14" s="86" t="inlineStr">
        <is>
          <t>X576</t>
        </is>
      </c>
      <c r="E14" s="86" t="inlineStr">
        <is>
          <t>1679742-00-A</t>
        </is>
      </c>
      <c r="F14" s="86" t="inlineStr">
        <is>
          <t>J</t>
        </is>
      </c>
      <c r="G14" s="86" t="inlineStr">
        <is>
          <t>IP</t>
        </is>
      </c>
      <c r="H14" s="86" t="inlineStr">
        <is>
          <t>1</t>
        </is>
      </c>
      <c r="I14" s="86" t="inlineStr">
        <is>
          <t>Speaker P</t>
        </is>
      </c>
      <c r="J14" s="86" t="inlineStr">
        <is>
          <t>TN</t>
        </is>
      </c>
      <c r="K14" s="86" t="inlineStr">
        <is>
          <t>0.64x0.64F</t>
        </is>
      </c>
      <c r="L14" s="86" t="inlineStr">
        <is>
          <t>X055</t>
        </is>
      </c>
      <c r="M14" s="86" t="inlineStr">
        <is>
          <t>35</t>
        </is>
      </c>
      <c r="N14" s="86" t="inlineStr">
        <is>
          <t>Body Controller Right</t>
        </is>
      </c>
      <c r="O14" s="86" t="inlineStr">
        <is>
          <t>BAUDIO MCU</t>
        </is>
      </c>
      <c r="P14" s="86" t="inlineStr"/>
      <c r="Q14" s="86" t="inlineStr"/>
      <c r="R14" s="86" t="inlineStr">
        <is>
          <t>HELIX Ci3 M100FM-S3 (Highland kit)</t>
        </is>
      </c>
      <c r="S14" s="86" t="inlineStr">
        <is>
          <t>AUD CH4 via passive XO with SPK04</t>
        </is>
      </c>
      <c r="T14" s="86" t="inlineStr">
        <is>
          <t>Tesla SOP9 HAR connector export + Audio-LHD / Premium Amp captured sources</t>
        </is>
      </c>
    </row>
    <row r="15">
      <c r="A15" s="15" t="inlineStr"/>
      <c r="B15" s="15" t="inlineStr"/>
      <c r="C15" s="15" t="inlineStr"/>
      <c r="D15" s="15" t="inlineStr"/>
      <c r="E15" s="15" t="inlineStr"/>
      <c r="F15" s="15" t="inlineStr"/>
      <c r="G15" s="15" t="inlineStr"/>
      <c r="H15" s="15" t="inlineStr">
        <is>
          <t>2</t>
        </is>
      </c>
      <c r="I15" s="15" t="inlineStr">
        <is>
          <t>Speaker N</t>
        </is>
      </c>
      <c r="J15" s="15" t="inlineStr">
        <is>
          <t>BK</t>
        </is>
      </c>
      <c r="K15" s="15" t="inlineStr">
        <is>
          <t>0.64x0.64F</t>
        </is>
      </c>
      <c r="L15" s="15" t="inlineStr">
        <is>
          <t>X055</t>
        </is>
      </c>
      <c r="M15" s="15" t="inlineStr">
        <is>
          <t>36</t>
        </is>
      </c>
      <c r="N15" s="15" t="inlineStr">
        <is>
          <t>Body Controller Right</t>
        </is>
      </c>
      <c r="O15" s="15" t="inlineStr"/>
      <c r="P15" s="15" t="inlineStr"/>
      <c r="Q15" s="15" t="inlineStr"/>
      <c r="R15" s="15" t="inlineStr"/>
      <c r="S15" s="15" t="inlineStr"/>
      <c r="T15" s="15" t="inlineStr"/>
    </row>
    <row r="16">
      <c r="A16" s="78" t="inlineStr">
        <is>
          <t>SPK08</t>
        </is>
      </c>
      <c r="B16" s="78" t="inlineStr">
        <is>
          <t>Front left door 80 mm</t>
        </is>
      </c>
      <c r="C16" s="78" t="inlineStr">
        <is>
          <t>PAUDIO-only added position</t>
        </is>
      </c>
      <c r="D16" s="78" t="inlineStr">
        <is>
          <t>X570</t>
        </is>
      </c>
      <c r="E16" s="78" t="inlineStr">
        <is>
          <t>1679742-00-A</t>
        </is>
      </c>
      <c r="F16" s="78" t="inlineStr">
        <is>
          <t>DT</t>
        </is>
      </c>
      <c r="G16" s="78" t="inlineStr">
        <is>
          <t>Front Door Trim</t>
        </is>
      </c>
      <c r="H16" s="78" t="inlineStr">
        <is>
          <t>1</t>
        </is>
      </c>
      <c r="I16" s="78" t="inlineStr">
        <is>
          <t>11</t>
        </is>
      </c>
      <c r="J16" s="78" t="inlineStr">
        <is>
          <t>GN</t>
        </is>
      </c>
      <c r="K16" s="78" t="inlineStr">
        <is>
          <t>0.64x0.64F</t>
        </is>
      </c>
      <c r="L16" s="78" t="inlineStr">
        <is>
          <t>X922F</t>
        </is>
      </c>
      <c r="M16" s="78" t="inlineStr">
        <is>
          <t>11</t>
        </is>
      </c>
      <c r="N16" s="78" t="inlineStr"/>
      <c r="O16" s="78" t="inlineStr">
        <is>
          <t>PAUDIO Premium Amp</t>
        </is>
      </c>
      <c r="P16" s="78" t="inlineStr">
        <is>
          <t>X560-9/10</t>
        </is>
      </c>
      <c r="Q16" s="78" t="inlineStr"/>
      <c r="R16" s="78" t="inlineStr">
        <is>
          <t>HELIX Ci5 M80FM-S3</t>
        </is>
      </c>
      <c r="S16" s="78" t="inlineStr">
        <is>
          <t>AUD CH6</t>
        </is>
      </c>
      <c r="T16" s="78" t="inlineStr">
        <is>
          <t>Tesla SOP9 HAR connector export + Audio-LHD / Premium Amp captured sources</t>
        </is>
      </c>
    </row>
    <row r="17">
      <c r="A17" s="15" t="inlineStr"/>
      <c r="B17" s="15" t="inlineStr"/>
      <c r="C17" s="15" t="inlineStr"/>
      <c r="D17" s="15" t="inlineStr"/>
      <c r="E17" s="15" t="inlineStr"/>
      <c r="F17" s="15" t="inlineStr"/>
      <c r="G17" s="15" t="inlineStr"/>
      <c r="H17" s="15" t="inlineStr">
        <is>
          <t>2</t>
        </is>
      </c>
      <c r="I17" s="15" t="inlineStr">
        <is>
          <t>20</t>
        </is>
      </c>
      <c r="J17" s="15" t="inlineStr">
        <is>
          <t>VT</t>
        </is>
      </c>
      <c r="K17" s="15" t="inlineStr">
        <is>
          <t>0.64x0.64F</t>
        </is>
      </c>
      <c r="L17" s="15" t="inlineStr">
        <is>
          <t>X922F</t>
        </is>
      </c>
      <c r="M17" s="15" t="inlineStr">
        <is>
          <t>20</t>
        </is>
      </c>
      <c r="N17" s="15" t="inlineStr"/>
      <c r="O17" s="15" t="inlineStr"/>
      <c r="P17" s="15" t="inlineStr"/>
      <c r="Q17" s="15" t="inlineStr"/>
      <c r="R17" s="15" t="inlineStr"/>
      <c r="S17" s="15" t="inlineStr"/>
      <c r="T17" s="15" t="inlineStr"/>
    </row>
    <row r="18">
      <c r="A18" s="78" t="inlineStr">
        <is>
          <t>SPK09</t>
        </is>
      </c>
      <c r="B18" s="78" t="inlineStr">
        <is>
          <t>Front right door 80 mm</t>
        </is>
      </c>
      <c r="C18" s="78" t="inlineStr">
        <is>
          <t>PAUDIO-only added position</t>
        </is>
      </c>
      <c r="D18" s="78" t="inlineStr">
        <is>
          <t>X580</t>
        </is>
      </c>
      <c r="E18" s="78" t="inlineStr">
        <is>
          <t>1679742-00-A</t>
        </is>
      </c>
      <c r="F18" s="78" t="inlineStr">
        <is>
          <t>DT</t>
        </is>
      </c>
      <c r="G18" s="78" t="inlineStr">
        <is>
          <t>Front Door Trim</t>
        </is>
      </c>
      <c r="H18" s="78" t="inlineStr">
        <is>
          <t>1</t>
        </is>
      </c>
      <c r="I18" s="78" t="inlineStr">
        <is>
          <t>11</t>
        </is>
      </c>
      <c r="J18" s="78" t="inlineStr">
        <is>
          <t>GN</t>
        </is>
      </c>
      <c r="K18" s="78" t="inlineStr">
        <is>
          <t>0.64x0.64F</t>
        </is>
      </c>
      <c r="L18" s="78" t="inlineStr">
        <is>
          <t>X923F</t>
        </is>
      </c>
      <c r="M18" s="78" t="inlineStr">
        <is>
          <t>11</t>
        </is>
      </c>
      <c r="N18" s="78" t="inlineStr"/>
      <c r="O18" s="78" t="inlineStr">
        <is>
          <t>PAUDIO Premium Amp</t>
        </is>
      </c>
      <c r="P18" s="78" t="inlineStr">
        <is>
          <t>X560-7/8</t>
        </is>
      </c>
      <c r="Q18" s="78" t="inlineStr"/>
      <c r="R18" s="78" t="inlineStr">
        <is>
          <t>HELIX Ci5 M80FM-S3</t>
        </is>
      </c>
      <c r="S18" s="78" t="inlineStr">
        <is>
          <t>AUD CH7</t>
        </is>
      </c>
      <c r="T18" s="78" t="inlineStr">
        <is>
          <t>Tesla SOP9 HAR connector export + Audio-LHD / Premium Amp captured sources</t>
        </is>
      </c>
    </row>
    <row r="19">
      <c r="A19" s="15" t="inlineStr"/>
      <c r="B19" s="15" t="inlineStr"/>
      <c r="C19" s="15" t="inlineStr"/>
      <c r="D19" s="15" t="inlineStr"/>
      <c r="E19" s="15" t="inlineStr"/>
      <c r="F19" s="15" t="inlineStr"/>
      <c r="G19" s="15" t="inlineStr"/>
      <c r="H19" s="15" t="inlineStr">
        <is>
          <t>2</t>
        </is>
      </c>
      <c r="I19" s="15" t="inlineStr">
        <is>
          <t>20</t>
        </is>
      </c>
      <c r="J19" s="15" t="inlineStr">
        <is>
          <t>VT</t>
        </is>
      </c>
      <c r="K19" s="15" t="inlineStr">
        <is>
          <t>0.64x0.64F</t>
        </is>
      </c>
      <c r="L19" s="15" t="inlineStr">
        <is>
          <t>X923F</t>
        </is>
      </c>
      <c r="M19" s="15" t="inlineStr">
        <is>
          <t>20</t>
        </is>
      </c>
      <c r="N19" s="15" t="inlineStr"/>
      <c r="O19" s="15" t="inlineStr"/>
      <c r="P19" s="15" t="inlineStr"/>
      <c r="Q19" s="15" t="inlineStr"/>
      <c r="R19" s="15" t="inlineStr"/>
      <c r="S19" s="15" t="inlineStr"/>
      <c r="T19" s="15" t="inlineStr"/>
    </row>
    <row r="20">
      <c r="A20" s="86" t="inlineStr">
        <is>
          <t>SPK10</t>
        </is>
      </c>
      <c r="B20" s="86" t="inlineStr">
        <is>
          <t>Rear left door</t>
        </is>
      </c>
      <c r="C20" s="86" t="inlineStr">
        <is>
          <t>Existing BAUDIO / replace driver</t>
        </is>
      </c>
      <c r="D20" s="86" t="inlineStr">
        <is>
          <t>X586</t>
        </is>
      </c>
      <c r="E20" s="86" t="inlineStr">
        <is>
          <t>1679742-00-A</t>
        </is>
      </c>
      <c r="F20" s="86" t="inlineStr">
        <is>
          <t>RT</t>
        </is>
      </c>
      <c r="G20" s="86" t="inlineStr">
        <is>
          <t>Rear Door Trim</t>
        </is>
      </c>
      <c r="H20" s="86" t="inlineStr">
        <is>
          <t>1</t>
        </is>
      </c>
      <c r="I20" s="86" t="inlineStr">
        <is>
          <t>Speaker P</t>
        </is>
      </c>
      <c r="J20" s="86" t="inlineStr">
        <is>
          <t>RD</t>
        </is>
      </c>
      <c r="K20" s="86" t="inlineStr">
        <is>
          <t>0.64x0.64F</t>
        </is>
      </c>
      <c r="L20" s="86" t="inlineStr">
        <is>
          <t>X925F</t>
        </is>
      </c>
      <c r="M20" s="86" t="inlineStr">
        <is>
          <t>1</t>
        </is>
      </c>
      <c r="N20" s="86" t="inlineStr"/>
      <c r="O20" s="86" t="inlineStr">
        <is>
          <t>BAUDIO MCU; PAUDIO Premium Amp in PAUDIO topology</t>
        </is>
      </c>
      <c r="P20" s="86" t="inlineStr">
        <is>
          <t>X560-1/2</t>
        </is>
      </c>
      <c r="Q20" s="86" t="inlineStr"/>
      <c r="R20" s="86" t="inlineStr">
        <is>
          <t>HELIX Ci3 M100FM-S3</t>
        </is>
      </c>
      <c r="S20" s="86" t="inlineStr">
        <is>
          <t>AUD CH8</t>
        </is>
      </c>
      <c r="T20" s="86" t="inlineStr">
        <is>
          <t>Tesla SOP9 HAR connector export + Audio-LHD / Premium Amp captured sources</t>
        </is>
      </c>
    </row>
    <row r="21">
      <c r="A21" s="15" t="inlineStr"/>
      <c r="B21" s="15" t="inlineStr"/>
      <c r="C21" s="15" t="inlineStr"/>
      <c r="D21" s="15" t="inlineStr"/>
      <c r="E21" s="15" t="inlineStr"/>
      <c r="F21" s="15" t="inlineStr"/>
      <c r="G21" s="15" t="inlineStr"/>
      <c r="H21" s="15" t="inlineStr">
        <is>
          <t>2</t>
        </is>
      </c>
      <c r="I21" s="15" t="inlineStr">
        <is>
          <t>Speaker N</t>
        </is>
      </c>
      <c r="J21" s="15" t="inlineStr">
        <is>
          <t>BK</t>
        </is>
      </c>
      <c r="K21" s="15" t="inlineStr">
        <is>
          <t>0.64x0.64F</t>
        </is>
      </c>
      <c r="L21" s="15" t="inlineStr">
        <is>
          <t>X925F</t>
        </is>
      </c>
      <c r="M21" s="15" t="inlineStr">
        <is>
          <t>12</t>
        </is>
      </c>
      <c r="N21" s="15" t="inlineStr"/>
      <c r="O21" s="15" t="inlineStr"/>
      <c r="P21" s="15" t="inlineStr"/>
      <c r="Q21" s="15" t="inlineStr"/>
      <c r="R21" s="15" t="inlineStr"/>
      <c r="S21" s="15" t="inlineStr"/>
      <c r="T21" s="15" t="inlineStr"/>
    </row>
    <row r="22">
      <c r="A22" s="86" t="inlineStr">
        <is>
          <t>SPK11</t>
        </is>
      </c>
      <c r="B22" s="86" t="inlineStr">
        <is>
          <t>Rear right door</t>
        </is>
      </c>
      <c r="C22" s="86" t="inlineStr">
        <is>
          <t>Existing BAUDIO / replace driver</t>
        </is>
      </c>
      <c r="D22" s="86" t="inlineStr">
        <is>
          <t>X591</t>
        </is>
      </c>
      <c r="E22" s="86" t="inlineStr">
        <is>
          <t>1679742-00-A</t>
        </is>
      </c>
      <c r="F22" s="86" t="inlineStr">
        <is>
          <t>RT</t>
        </is>
      </c>
      <c r="G22" s="86" t="inlineStr">
        <is>
          <t>Rear Door Trim</t>
        </is>
      </c>
      <c r="H22" s="86" t="inlineStr">
        <is>
          <t>1</t>
        </is>
      </c>
      <c r="I22" s="86" t="inlineStr">
        <is>
          <t>Speaker P</t>
        </is>
      </c>
      <c r="J22" s="86" t="inlineStr">
        <is>
          <t>RD</t>
        </is>
      </c>
      <c r="K22" s="86" t="inlineStr">
        <is>
          <t>0.64x0.64F</t>
        </is>
      </c>
      <c r="L22" s="86" t="inlineStr">
        <is>
          <t>X927F</t>
        </is>
      </c>
      <c r="M22" s="86" t="inlineStr">
        <is>
          <t>1</t>
        </is>
      </c>
      <c r="N22" s="86" t="inlineStr"/>
      <c r="O22" s="86" t="inlineStr">
        <is>
          <t>BAUDIO MCU; PAUDIO Premium Amp in PAUDIO topology</t>
        </is>
      </c>
      <c r="P22" s="86" t="inlineStr">
        <is>
          <t>X560-3/4</t>
        </is>
      </c>
      <c r="Q22" s="86" t="inlineStr"/>
      <c r="R22" s="86" t="inlineStr">
        <is>
          <t>HELIX Ci3 M100FM-S3</t>
        </is>
      </c>
      <c r="S22" s="86" t="inlineStr">
        <is>
          <t>AUD CH9</t>
        </is>
      </c>
      <c r="T22" s="86" t="inlineStr">
        <is>
          <t>Tesla SOP9 HAR connector export + Audio-LHD / Premium Amp captured sources</t>
        </is>
      </c>
    </row>
    <row r="23">
      <c r="A23" s="15" t="inlineStr"/>
      <c r="B23" s="15" t="inlineStr"/>
      <c r="C23" s="15" t="inlineStr"/>
      <c r="D23" s="15" t="inlineStr"/>
      <c r="E23" s="15" t="inlineStr"/>
      <c r="F23" s="15" t="inlineStr"/>
      <c r="G23" s="15" t="inlineStr"/>
      <c r="H23" s="15" t="inlineStr">
        <is>
          <t>2</t>
        </is>
      </c>
      <c r="I23" s="15" t="inlineStr">
        <is>
          <t>Speaker N</t>
        </is>
      </c>
      <c r="J23" s="15" t="inlineStr">
        <is>
          <t>BK</t>
        </is>
      </c>
      <c r="K23" s="15" t="inlineStr">
        <is>
          <t>0.64x0.64F</t>
        </is>
      </c>
      <c r="L23" s="15" t="inlineStr">
        <is>
          <t>X927F</t>
        </is>
      </c>
      <c r="M23" s="15" t="inlineStr">
        <is>
          <t>12</t>
        </is>
      </c>
      <c r="N23" s="15" t="inlineStr"/>
      <c r="O23" s="15" t="inlineStr"/>
      <c r="P23" s="15" t="inlineStr"/>
      <c r="Q23" s="15" t="inlineStr"/>
      <c r="R23" s="15" t="inlineStr"/>
      <c r="S23" s="15" t="inlineStr"/>
      <c r="T23" s="15" t="inlineStr"/>
    </row>
    <row r="24">
      <c r="A24" s="78" t="inlineStr">
        <is>
          <t>SPK12</t>
        </is>
      </c>
      <c r="B24" s="78" t="inlineStr">
        <is>
          <t>Parcel shelf left</t>
        </is>
      </c>
      <c r="C24" s="78" t="inlineStr">
        <is>
          <t>PAUDIO-only added position</t>
        </is>
      </c>
      <c r="D24" s="78" t="inlineStr">
        <is>
          <t>X588</t>
        </is>
      </c>
      <c r="E24" s="78" t="inlineStr">
        <is>
          <t>1679742-00-A</t>
        </is>
      </c>
      <c r="F24" s="78" t="inlineStr">
        <is>
          <t>Q</t>
        </is>
      </c>
      <c r="G24" s="78" t="inlineStr">
        <is>
          <t>Parcel Shelf</t>
        </is>
      </c>
      <c r="H24" s="78" t="inlineStr">
        <is>
          <t>1</t>
        </is>
      </c>
      <c r="I24" s="78" t="inlineStr">
        <is>
          <t>3</t>
        </is>
      </c>
      <c r="J24" s="78" t="inlineStr">
        <is>
          <t>VT</t>
        </is>
      </c>
      <c r="K24" s="78" t="inlineStr">
        <is>
          <t>0.64x0.64F</t>
        </is>
      </c>
      <c r="L24" s="78" t="inlineStr">
        <is>
          <t>X970F</t>
        </is>
      </c>
      <c r="M24" s="78" t="inlineStr">
        <is>
          <t>3</t>
        </is>
      </c>
      <c r="N24" s="78" t="inlineStr"/>
      <c r="O24" s="78" t="inlineStr">
        <is>
          <t>PAUDIO Premium Amp</t>
        </is>
      </c>
      <c r="P24" s="78" t="inlineStr">
        <is>
          <t>X560-11/12</t>
        </is>
      </c>
      <c r="Q24" s="78" t="inlineStr"/>
      <c r="R24" s="78" t="inlineStr">
        <is>
          <t>HELIX Ci3 M100FM-S3</t>
        </is>
      </c>
      <c r="S24" s="78" t="inlineStr">
        <is>
          <t>AUD CH10</t>
        </is>
      </c>
      <c r="T24" s="78" t="inlineStr">
        <is>
          <t>Tesla SOP9 HAR connector export + Audio-LHD / Premium Amp captured sources</t>
        </is>
      </c>
    </row>
    <row r="25">
      <c r="A25" s="15" t="inlineStr"/>
      <c r="B25" s="15" t="inlineStr"/>
      <c r="C25" s="15" t="inlineStr"/>
      <c r="D25" s="15" t="inlineStr"/>
      <c r="E25" s="15" t="inlineStr"/>
      <c r="F25" s="15" t="inlineStr"/>
      <c r="G25" s="15" t="inlineStr"/>
      <c r="H25" s="15" t="inlineStr">
        <is>
          <t>2</t>
        </is>
      </c>
      <c r="I25" s="15" t="inlineStr">
        <is>
          <t>4</t>
        </is>
      </c>
      <c r="J25" s="15" t="inlineStr">
        <is>
          <t>WH</t>
        </is>
      </c>
      <c r="K25" s="15" t="inlineStr">
        <is>
          <t>0.64x0.64F</t>
        </is>
      </c>
      <c r="L25" s="15" t="inlineStr">
        <is>
          <t>X970F</t>
        </is>
      </c>
      <c r="M25" s="15" t="inlineStr">
        <is>
          <t>4</t>
        </is>
      </c>
      <c r="N25" s="15" t="inlineStr"/>
      <c r="O25" s="15" t="inlineStr"/>
      <c r="P25" s="15" t="inlineStr"/>
      <c r="Q25" s="15" t="inlineStr"/>
      <c r="R25" s="15" t="inlineStr"/>
      <c r="S25" s="15" t="inlineStr"/>
      <c r="T25" s="15" t="inlineStr"/>
    </row>
    <row r="26">
      <c r="A26" s="78" t="inlineStr">
        <is>
          <t>SPK13</t>
        </is>
      </c>
      <c r="B26" s="78" t="inlineStr">
        <is>
          <t>Parcel shelf right</t>
        </is>
      </c>
      <c r="C26" s="78" t="inlineStr">
        <is>
          <t>PAUDIO-only added position</t>
        </is>
      </c>
      <c r="D26" s="78" t="inlineStr">
        <is>
          <t>X593</t>
        </is>
      </c>
      <c r="E26" s="78" t="inlineStr">
        <is>
          <t>1679742-00-A</t>
        </is>
      </c>
      <c r="F26" s="78" t="inlineStr">
        <is>
          <t>Q</t>
        </is>
      </c>
      <c r="G26" s="78" t="inlineStr">
        <is>
          <t>Parcel Shelf</t>
        </is>
      </c>
      <c r="H26" s="78" t="inlineStr">
        <is>
          <t>1</t>
        </is>
      </c>
      <c r="I26" s="78" t="inlineStr">
        <is>
          <t>1</t>
        </is>
      </c>
      <c r="J26" s="78" t="inlineStr">
        <is>
          <t>GY</t>
        </is>
      </c>
      <c r="K26" s="78" t="inlineStr">
        <is>
          <t>0.64x0.64F</t>
        </is>
      </c>
      <c r="L26" s="78" t="inlineStr">
        <is>
          <t>X970F</t>
        </is>
      </c>
      <c r="M26" s="78" t="inlineStr">
        <is>
          <t>1</t>
        </is>
      </c>
      <c r="N26" s="78" t="inlineStr"/>
      <c r="O26" s="78" t="inlineStr">
        <is>
          <t>PAUDIO Premium Amp</t>
        </is>
      </c>
      <c r="P26" s="78" t="inlineStr">
        <is>
          <t>X560-5/6</t>
        </is>
      </c>
      <c r="Q26" s="78" t="inlineStr"/>
      <c r="R26" s="78" t="inlineStr">
        <is>
          <t>HELIX Ci3 M100FM-S3</t>
        </is>
      </c>
      <c r="S26" s="78" t="inlineStr">
        <is>
          <t>AUD CH11</t>
        </is>
      </c>
      <c r="T26" s="78" t="inlineStr">
        <is>
          <t>Tesla SOP9 HAR connector export + Audio-LHD / Premium Amp captured sources</t>
        </is>
      </c>
    </row>
    <row r="27">
      <c r="A27" s="15" t="inlineStr"/>
      <c r="B27" s="15" t="inlineStr"/>
      <c r="C27" s="15" t="inlineStr"/>
      <c r="D27" s="15" t="inlineStr"/>
      <c r="E27" s="15" t="inlineStr"/>
      <c r="F27" s="15" t="inlineStr"/>
      <c r="G27" s="15" t="inlineStr"/>
      <c r="H27" s="15" t="inlineStr">
        <is>
          <t>2</t>
        </is>
      </c>
      <c r="I27" s="15" t="inlineStr">
        <is>
          <t>2</t>
        </is>
      </c>
      <c r="J27" s="15" t="inlineStr">
        <is>
          <t>YE</t>
        </is>
      </c>
      <c r="K27" s="15" t="inlineStr">
        <is>
          <t>0.64x0.64F</t>
        </is>
      </c>
      <c r="L27" s="15" t="inlineStr">
        <is>
          <t>X970F</t>
        </is>
      </c>
      <c r="M27" s="15" t="inlineStr">
        <is>
          <t>2</t>
        </is>
      </c>
      <c r="N27" s="15" t="inlineStr"/>
      <c r="O27" s="15" t="inlineStr"/>
      <c r="P27" s="15" t="inlineStr"/>
      <c r="Q27" s="15" t="inlineStr"/>
      <c r="R27" s="15" t="inlineStr"/>
      <c r="S27" s="15" t="inlineStr"/>
      <c r="T27" s="15" t="inlineStr"/>
    </row>
    <row r="28">
      <c r="A28" s="78" t="inlineStr">
        <is>
          <t>SPK14</t>
        </is>
      </c>
      <c r="B28" s="78" t="inlineStr">
        <is>
          <t>Headliner left</t>
        </is>
      </c>
      <c r="C28" s="78" t="inlineStr">
        <is>
          <t>PAUDIO-only added position</t>
        </is>
      </c>
      <c r="D28" s="78" t="inlineStr">
        <is>
          <t>X569</t>
        </is>
      </c>
      <c r="E28" s="78" t="inlineStr">
        <is>
          <t>1015004-00-B</t>
        </is>
      </c>
      <c r="F28" s="78" t="inlineStr">
        <is>
          <t>K</t>
        </is>
      </c>
      <c r="G28" s="78" t="inlineStr">
        <is>
          <t>Headliner</t>
        </is>
      </c>
      <c r="H28" s="78" t="inlineStr">
        <is>
          <t>1</t>
        </is>
      </c>
      <c r="I28" s="78" t="inlineStr">
        <is>
          <t>Speaker P</t>
        </is>
      </c>
      <c r="J28" s="78" t="inlineStr">
        <is>
          <t>GN</t>
        </is>
      </c>
      <c r="K28" s="78" t="inlineStr">
        <is>
          <t>0.64x0.64F</t>
        </is>
      </c>
      <c r="L28" s="78" t="inlineStr">
        <is>
          <t>X981F</t>
        </is>
      </c>
      <c r="M28" s="78" t="inlineStr">
        <is>
          <t>1</t>
        </is>
      </c>
      <c r="N28" s="78" t="inlineStr"/>
      <c r="O28" s="78" t="inlineStr">
        <is>
          <t>PAUDIO option branch from MCU (not BAUDIO-assumed)</t>
        </is>
      </c>
      <c r="P28" s="78" t="inlineStr"/>
      <c r="Q28" s="78" t="inlineStr"/>
      <c r="R28" s="78" t="inlineStr">
        <is>
          <t>HELIX Ci5 M50FM-S3</t>
        </is>
      </c>
      <c r="S28" s="78" t="inlineStr">
        <is>
          <t>AUX CH1 via Audison DSP OUT</t>
        </is>
      </c>
      <c r="T28" s="78" t="inlineStr">
        <is>
          <t>Tesla SOP9 HAR connector export + Audio-LHD / Premium Amp captured sources</t>
        </is>
      </c>
    </row>
    <row r="29">
      <c r="A29" s="15" t="inlineStr"/>
      <c r="B29" s="15" t="inlineStr"/>
      <c r="C29" s="15" t="inlineStr"/>
      <c r="D29" s="15" t="inlineStr"/>
      <c r="E29" s="15" t="inlineStr"/>
      <c r="F29" s="15" t="inlineStr"/>
      <c r="G29" s="15" t="inlineStr"/>
      <c r="H29" s="15" t="inlineStr">
        <is>
          <t>2</t>
        </is>
      </c>
      <c r="I29" s="15" t="inlineStr">
        <is>
          <t>Speaker N</t>
        </is>
      </c>
      <c r="J29" s="15" t="inlineStr">
        <is>
          <t>GY</t>
        </is>
      </c>
      <c r="K29" s="15" t="inlineStr">
        <is>
          <t>0.64x0.64F</t>
        </is>
      </c>
      <c r="L29" s="15" t="inlineStr">
        <is>
          <t>X981F</t>
        </is>
      </c>
      <c r="M29" s="15" t="inlineStr">
        <is>
          <t>11</t>
        </is>
      </c>
      <c r="N29" s="15" t="inlineStr"/>
      <c r="O29" s="15" t="inlineStr"/>
      <c r="P29" s="15" t="inlineStr"/>
      <c r="Q29" s="15" t="inlineStr"/>
      <c r="R29" s="15" t="inlineStr"/>
      <c r="S29" s="15" t="inlineStr"/>
      <c r="T29" s="15" t="inlineStr"/>
    </row>
    <row r="30">
      <c r="A30" s="78" t="inlineStr">
        <is>
          <t>SPK15</t>
        </is>
      </c>
      <c r="B30" s="78" t="inlineStr">
        <is>
          <t>Headliner right</t>
        </is>
      </c>
      <c r="C30" s="78" t="inlineStr">
        <is>
          <t>PAUDIO-only added position</t>
        </is>
      </c>
      <c r="D30" s="78" t="inlineStr">
        <is>
          <t>X579</t>
        </is>
      </c>
      <c r="E30" s="78" t="inlineStr">
        <is>
          <t>1015004-00-B</t>
        </is>
      </c>
      <c r="F30" s="78" t="inlineStr">
        <is>
          <t>K</t>
        </is>
      </c>
      <c r="G30" s="78" t="inlineStr">
        <is>
          <t>Headliner</t>
        </is>
      </c>
      <c r="H30" s="78" t="inlineStr">
        <is>
          <t>1</t>
        </is>
      </c>
      <c r="I30" s="78" t="inlineStr">
        <is>
          <t>Speaker P</t>
        </is>
      </c>
      <c r="J30" s="78" t="inlineStr">
        <is>
          <t>WH</t>
        </is>
      </c>
      <c r="K30" s="78" t="inlineStr">
        <is>
          <t>0.64x0.64F</t>
        </is>
      </c>
      <c r="L30" s="78" t="inlineStr">
        <is>
          <t>X981F</t>
        </is>
      </c>
      <c r="M30" s="78" t="inlineStr">
        <is>
          <t>10</t>
        </is>
      </c>
      <c r="N30" s="78" t="inlineStr"/>
      <c r="O30" s="78" t="inlineStr">
        <is>
          <t>PAUDIO option branch from MCU (not BAUDIO-assumed)</t>
        </is>
      </c>
      <c r="P30" s="78" t="inlineStr"/>
      <c r="Q30" s="78" t="inlineStr"/>
      <c r="R30" s="78" t="inlineStr">
        <is>
          <t>HELIX Ci5 M50FM-S3</t>
        </is>
      </c>
      <c r="S30" s="78" t="inlineStr">
        <is>
          <t>AUX CH2 via Audison DSP OUT</t>
        </is>
      </c>
      <c r="T30" s="78" t="inlineStr">
        <is>
          <t>Tesla SOP9 HAR connector export + Audio-LHD / Premium Amp captured sources</t>
        </is>
      </c>
    </row>
    <row r="31">
      <c r="A31" s="15" t="inlineStr"/>
      <c r="B31" s="15" t="inlineStr"/>
      <c r="C31" s="15" t="inlineStr"/>
      <c r="D31" s="15" t="inlineStr"/>
      <c r="E31" s="15" t="inlineStr"/>
      <c r="F31" s="15" t="inlineStr"/>
      <c r="G31" s="15" t="inlineStr"/>
      <c r="H31" s="15" t="inlineStr">
        <is>
          <t>2</t>
        </is>
      </c>
      <c r="I31" s="15" t="inlineStr">
        <is>
          <t>Speaker N</t>
        </is>
      </c>
      <c r="J31" s="15" t="inlineStr">
        <is>
          <t>BN</t>
        </is>
      </c>
      <c r="K31" s="15" t="inlineStr">
        <is>
          <t>0.64x0.64F</t>
        </is>
      </c>
      <c r="L31" s="15" t="inlineStr">
        <is>
          <t>X981F</t>
        </is>
      </c>
      <c r="M31" s="15" t="inlineStr">
        <is>
          <t>18</t>
        </is>
      </c>
      <c r="N31" s="15" t="inlineStr"/>
      <c r="O31" s="15" t="inlineStr"/>
      <c r="P31" s="15" t="inlineStr"/>
      <c r="Q31" s="15" t="inlineStr"/>
      <c r="R31" s="15" t="inlineStr"/>
      <c r="S31" s="15" t="inlineStr"/>
      <c r="T31" s="15" t="inlineStr"/>
    </row>
  </sheetData>
  <autoFilter ref="A1:T3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8" customWidth="1" min="3" max="3"/>
    <col width="12" customWidth="1" min="4" max="4"/>
    <col width="30" customWidth="1" min="5" max="5"/>
    <col width="34" customWidth="1" min="6" max="6"/>
    <col width="18" customWidth="1" min="7" max="7"/>
    <col width="10" customWidth="1" min="8" max="8"/>
    <col width="20" customWidth="1" min="9" max="9"/>
    <col width="12" customWidth="1" min="10" max="10"/>
    <col width="12" customWidth="1" min="11" max="11"/>
    <col width="25" customWidth="1" min="12" max="12"/>
    <col width="38" customWidth="1" min="13" max="13"/>
    <col width="75" customWidth="1" min="14" max="14"/>
    <col width="20" customWidth="1" min="15" max="15"/>
    <col width="18" customWidth="1" min="16" max="16"/>
  </cols>
  <sheetData>
    <row r="1">
      <c r="A1" s="76" t="inlineStr">
        <is>
          <t>#</t>
        </is>
      </c>
      <c r="B1" s="76" t="inlineStr">
        <is>
          <t>ID</t>
        </is>
      </c>
      <c r="C1" s="76" t="inlineStr">
        <is>
          <t>Position</t>
        </is>
      </c>
      <c r="D1" s="76" t="inlineStr">
        <is>
          <t>Connector</t>
        </is>
      </c>
      <c r="E1" s="76" t="inlineStr">
        <is>
          <t>Topology</t>
        </is>
      </c>
      <c r="F1" s="76" t="inlineStr">
        <is>
          <t>Device</t>
        </is>
      </c>
      <c r="G1" s="76" t="inlineStr">
        <is>
          <t>Tesla connector PN</t>
        </is>
      </c>
      <c r="H1" s="76" t="inlineStr">
        <is>
          <t>Harness</t>
        </is>
      </c>
      <c r="I1" s="76" t="inlineStr">
        <is>
          <t>Harness name</t>
        </is>
      </c>
      <c r="J1" s="76" t="inlineStr">
        <is>
          <t>Metadata</t>
        </is>
      </c>
      <c r="K1" s="76" t="inlineStr">
        <is>
          <t>Faceview</t>
        </is>
      </c>
      <c r="L1" s="76" t="inlineStr">
        <is>
          <t>Location</t>
        </is>
      </c>
      <c r="M1" s="76" t="inlineStr">
        <is>
          <t>Faceview file</t>
        </is>
      </c>
      <c r="N1" s="76" t="inlineStr">
        <is>
          <t>Cavities / route</t>
        </is>
      </c>
      <c r="O1" s="76" t="inlineStr">
        <is>
          <t>Premium Amp pins</t>
        </is>
      </c>
      <c r="P1" s="76" t="inlineStr">
        <is>
          <t>Engineering status</t>
        </is>
      </c>
    </row>
    <row r="2" ht="42" customHeight="1">
      <c r="A2" s="78" t="n">
        <v>1</v>
      </c>
      <c r="B2" s="78" t="inlineStr">
        <is>
          <t>SPK01</t>
        </is>
      </c>
      <c r="C2" s="78" t="inlineStr">
        <is>
          <t>Front left premium woofer</t>
        </is>
      </c>
      <c r="D2" s="78" t="inlineStr">
        <is>
          <t>X567</t>
        </is>
      </c>
      <c r="E2" s="78" t="inlineStr">
        <is>
          <t>PAUDIO target / replaces BAUDIO X568</t>
        </is>
      </c>
      <c r="F2" s="78" t="inlineStr">
        <is>
          <t>Speaker Front Left Door Prem Woofer</t>
        </is>
      </c>
      <c r="G2" s="78" t="inlineStr">
        <is>
          <t>1075244-00-A</t>
        </is>
      </c>
      <c r="H2" s="78" t="inlineStr">
        <is>
          <t>D</t>
        </is>
      </c>
      <c r="I2" s="78" t="inlineStr">
        <is>
          <t>Front Door Left</t>
        </is>
      </c>
      <c r="J2" s="162" t="inlineStr">
        <is>
          <t>VERIFIED</t>
        </is>
      </c>
      <c r="K2" s="162" t="inlineStr">
        <is>
          <t>VERIFIED</t>
        </is>
      </c>
      <c r="L2" s="78" t="inlineStr">
        <is>
          <t>VERIFIED - CURRENT</t>
        </is>
      </c>
      <c r="M2" s="78" t="inlineStr">
        <is>
          <t>faceviews/yazaki_7283-6444-60.svg</t>
        </is>
      </c>
      <c r="N2" s="78" t="inlineStr">
        <is>
          <t>1 Speaker P YE -&gt; X033B-3 AUDIO_SPEAKER_FRONT_DOOR_PASSTHROUGH_P | 2 Speaker N BU -&gt; X033B-4 AUDIO_SPEAKER_FRONT_DOOR_PASSTHROUGH_N</t>
        </is>
      </c>
      <c r="O2" s="78" t="inlineStr">
        <is>
          <t>X561-7/8</t>
        </is>
      </c>
      <c r="P2" s="78" t="inlineStr">
        <is>
          <t>COMPLETE</t>
        </is>
      </c>
    </row>
    <row r="3" ht="42" customHeight="1">
      <c r="A3" s="78" t="n">
        <v>2</v>
      </c>
      <c r="B3" s="78" t="inlineStr">
        <is>
          <t>SPK02</t>
        </is>
      </c>
      <c r="C3" s="78" t="inlineStr">
        <is>
          <t>Front right premium woofer</t>
        </is>
      </c>
      <c r="D3" s="78" t="inlineStr">
        <is>
          <t>X577</t>
        </is>
      </c>
      <c r="E3" s="78" t="inlineStr">
        <is>
          <t>PAUDIO target / replaces BAUDIO X578</t>
        </is>
      </c>
      <c r="F3" s="78" t="inlineStr">
        <is>
          <t>Speaker Front Right Door Prem Woofer</t>
        </is>
      </c>
      <c r="G3" s="78" t="inlineStr">
        <is>
          <t>1075244-00-A</t>
        </is>
      </c>
      <c r="H3" s="78" t="inlineStr">
        <is>
          <t>P</t>
        </is>
      </c>
      <c r="I3" s="78" t="inlineStr">
        <is>
          <t>Front Door Right</t>
        </is>
      </c>
      <c r="J3" s="162" t="inlineStr">
        <is>
          <t>VERIFIED</t>
        </is>
      </c>
      <c r="K3" s="162" t="inlineStr">
        <is>
          <t>VERIFIED</t>
        </is>
      </c>
      <c r="L3" s="78" t="inlineStr">
        <is>
          <t>VERIFIED - CURRENT</t>
        </is>
      </c>
      <c r="M3" s="78" t="inlineStr">
        <is>
          <t>faceviews/yazaki_7283-6444-60.svg</t>
        </is>
      </c>
      <c r="N3" s="78" t="inlineStr">
        <is>
          <t>1 Speaker P YE -&gt; X053B-2 AUDIO_SPEAKER_FRONT_DOOR_PASSTHROUGH_P | 2 Speaker N BU -&gt; X053B-1 AUDIO_SPEAKER_FRONT_DOOR_PASSTHROUGH_N</t>
        </is>
      </c>
      <c r="O3" s="78" t="inlineStr">
        <is>
          <t>X561-1/2</t>
        </is>
      </c>
      <c r="P3" s="78" t="inlineStr">
        <is>
          <t>COMPLETE</t>
        </is>
      </c>
    </row>
    <row r="4" ht="42" customHeight="1">
      <c r="A4" s="86" t="n">
        <v>3</v>
      </c>
      <c r="B4" s="86" t="inlineStr">
        <is>
          <t>SPK03</t>
        </is>
      </c>
      <c r="C4" s="86" t="inlineStr">
        <is>
          <t>Front left tweeter</t>
        </is>
      </c>
      <c r="D4" s="86" t="inlineStr">
        <is>
          <t>X565</t>
        </is>
      </c>
      <c r="E4" s="86" t="inlineStr">
        <is>
          <t>Existing BAUDIO / replace driver</t>
        </is>
      </c>
      <c r="F4" s="86" t="inlineStr">
        <is>
          <t>Speaker Front Left Door Tweeter</t>
        </is>
      </c>
      <c r="G4" s="86" t="inlineStr">
        <is>
          <t>1015004-00-B</t>
        </is>
      </c>
      <c r="H4" s="86" t="inlineStr">
        <is>
          <t>DT</t>
        </is>
      </c>
      <c r="I4" s="86" t="inlineStr">
        <is>
          <t>Front Door Trim</t>
        </is>
      </c>
      <c r="J4" s="163" t="inlineStr">
        <is>
          <t>VERIFIED</t>
        </is>
      </c>
      <c r="K4" s="163" t="inlineStr">
        <is>
          <t>VERIFIED</t>
        </is>
      </c>
      <c r="L4" s="86" t="inlineStr">
        <is>
          <t>VERIFIED - CURRENT</t>
        </is>
      </c>
      <c r="M4" s="86" t="inlineStr">
        <is>
          <t>faceviews/delphi_13649797.svg</t>
        </is>
      </c>
      <c r="N4" s="86" t="inlineStr">
        <is>
          <t>1 Speaker P VT -&gt; X922F-1 1 | 2 Speaker N BU -&gt; X922F-12 12</t>
        </is>
      </c>
      <c r="O4" s="86" t="inlineStr"/>
      <c r="P4" s="86" t="inlineStr">
        <is>
          <t>COMPLETE</t>
        </is>
      </c>
    </row>
    <row r="5" ht="42" customHeight="1">
      <c r="A5" s="86" t="n">
        <v>4</v>
      </c>
      <c r="B5" s="86" t="inlineStr">
        <is>
          <t>SPK04</t>
        </is>
      </c>
      <c r="C5" s="86" t="inlineStr">
        <is>
          <t>Front right tweeter</t>
        </is>
      </c>
      <c r="D5" s="86" t="inlineStr">
        <is>
          <t>X575</t>
        </is>
      </c>
      <c r="E5" s="86" t="inlineStr">
        <is>
          <t>Existing BAUDIO / replace driver</t>
        </is>
      </c>
      <c r="F5" s="86" t="inlineStr">
        <is>
          <t>Speaker Front Right Door Tweeter</t>
        </is>
      </c>
      <c r="G5" s="86" t="inlineStr">
        <is>
          <t>1015004-00-B</t>
        </is>
      </c>
      <c r="H5" s="86" t="inlineStr">
        <is>
          <t>DT</t>
        </is>
      </c>
      <c r="I5" s="86" t="inlineStr">
        <is>
          <t>Front Door Trim</t>
        </is>
      </c>
      <c r="J5" s="163" t="inlineStr">
        <is>
          <t>VERIFIED</t>
        </is>
      </c>
      <c r="K5" s="163" t="inlineStr">
        <is>
          <t>VERIFIED</t>
        </is>
      </c>
      <c r="L5" s="86" t="inlineStr">
        <is>
          <t>VERIFIED - CURRENT</t>
        </is>
      </c>
      <c r="M5" s="86" t="inlineStr">
        <is>
          <t>faceviews/delphi_13649797.svg</t>
        </is>
      </c>
      <c r="N5" s="86" t="inlineStr">
        <is>
          <t>1 Speaker P VT -&gt; X923F-1 1 | 2 Speaker N BU -&gt; X923F-12 12</t>
        </is>
      </c>
      <c r="O5" s="86" t="inlineStr"/>
      <c r="P5" s="86" t="inlineStr">
        <is>
          <t>COMPLETE</t>
        </is>
      </c>
    </row>
    <row r="6" ht="42" customHeight="1">
      <c r="A6" s="86" t="n">
        <v>5</v>
      </c>
      <c r="B6" s="86" t="inlineStr">
        <is>
          <t>SPK05</t>
        </is>
      </c>
      <c r="C6" s="86" t="inlineStr">
        <is>
          <t>Instrument panel left</t>
        </is>
      </c>
      <c r="D6" s="86" t="inlineStr">
        <is>
          <t>X566</t>
        </is>
      </c>
      <c r="E6" s="86" t="inlineStr">
        <is>
          <t>Existing BAUDIO / replace driver</t>
        </is>
      </c>
      <c r="F6" s="86" t="inlineStr">
        <is>
          <t>Speaker IP Left</t>
        </is>
      </c>
      <c r="G6" s="86" t="inlineStr">
        <is>
          <t>1679742-00-A</t>
        </is>
      </c>
      <c r="H6" s="86" t="inlineStr">
        <is>
          <t>J</t>
        </is>
      </c>
      <c r="I6" s="86" t="inlineStr">
        <is>
          <t>IP</t>
        </is>
      </c>
      <c r="J6" s="163" t="inlineStr">
        <is>
          <t>VERIFIED</t>
        </is>
      </c>
      <c r="K6" s="163" t="inlineStr">
        <is>
          <t>VERIFIED</t>
        </is>
      </c>
      <c r="L6" s="164" t="inlineStr">
        <is>
          <t>VISUAL GAP - HTTP 403</t>
        </is>
      </c>
      <c r="M6" s="86" t="inlineStr">
        <is>
          <t>faceviews/delphi_35328464.svg</t>
        </is>
      </c>
      <c r="N6" s="86" t="inlineStr">
        <is>
          <t>1 Speaker P YE -&gt; X055-37 LEFT_DASHBOARD_SPEAKER_PASSTHROUGH_P | 2 Speaker N VT -&gt; X055-38 LEFT_DASHBOARD_SPEAKER_PASSTHROUGH_N</t>
        </is>
      </c>
      <c r="O6" s="86" t="inlineStr"/>
      <c r="P6" s="86" t="inlineStr">
        <is>
          <t>COMPLETE</t>
        </is>
      </c>
    </row>
    <row r="7" ht="42" customHeight="1">
      <c r="A7" s="86" t="n">
        <v>6</v>
      </c>
      <c r="B7" s="86" t="inlineStr">
        <is>
          <t>SPK06</t>
        </is>
      </c>
      <c r="C7" s="86" t="inlineStr">
        <is>
          <t>Instrument panel center</t>
        </is>
      </c>
      <c r="D7" s="86" t="inlineStr">
        <is>
          <t>X595</t>
        </is>
      </c>
      <c r="E7" s="86" t="inlineStr">
        <is>
          <t>Existing BAUDIO / replace driver</t>
        </is>
      </c>
      <c r="F7" s="86" t="inlineStr">
        <is>
          <t>Speaker IP Center</t>
        </is>
      </c>
      <c r="G7" s="86" t="inlineStr">
        <is>
          <t>1679742-00-A</t>
        </is>
      </c>
      <c r="H7" s="86" t="inlineStr">
        <is>
          <t>J</t>
        </is>
      </c>
      <c r="I7" s="86" t="inlineStr">
        <is>
          <t>IP</t>
        </is>
      </c>
      <c r="J7" s="163" t="inlineStr">
        <is>
          <t>VERIFIED</t>
        </is>
      </c>
      <c r="K7" s="163" t="inlineStr">
        <is>
          <t>VERIFIED</t>
        </is>
      </c>
      <c r="L7" s="86" t="inlineStr">
        <is>
          <t>VERIFIED - PRIOR CAPTURE</t>
        </is>
      </c>
      <c r="M7" s="86" t="inlineStr">
        <is>
          <t>faceviews/delphi_35328464.svg</t>
        </is>
      </c>
      <c r="N7" s="86" t="inlineStr">
        <is>
          <t>1 Speaker P GY -&gt; X055-39 CENTER_DASHBOARD_SPEAKER_PASSTHROUGH_P | 2 Speaker N BU -&gt; X055-40 CENTER_DASHBOARD_SPEAKER_PASSTHROUGH_N</t>
        </is>
      </c>
      <c r="O7" s="86" t="inlineStr"/>
      <c r="P7" s="86" t="inlineStr">
        <is>
          <t>COMPLETE</t>
        </is>
      </c>
    </row>
    <row r="8" ht="42" customHeight="1">
      <c r="A8" s="86" t="n">
        <v>7</v>
      </c>
      <c r="B8" s="86" t="inlineStr">
        <is>
          <t>SPK07</t>
        </is>
      </c>
      <c r="C8" s="86" t="inlineStr">
        <is>
          <t>Instrument panel right</t>
        </is>
      </c>
      <c r="D8" s="86" t="inlineStr">
        <is>
          <t>X576</t>
        </is>
      </c>
      <c r="E8" s="86" t="inlineStr">
        <is>
          <t>Existing BAUDIO / replace driver</t>
        </is>
      </c>
      <c r="F8" s="86" t="inlineStr">
        <is>
          <t>Speaker IP Right</t>
        </is>
      </c>
      <c r="G8" s="86" t="inlineStr">
        <is>
          <t>1679742-00-A</t>
        </is>
      </c>
      <c r="H8" s="86" t="inlineStr">
        <is>
          <t>J</t>
        </is>
      </c>
      <c r="I8" s="86" t="inlineStr">
        <is>
          <t>IP</t>
        </is>
      </c>
      <c r="J8" s="163" t="inlineStr">
        <is>
          <t>VERIFIED</t>
        </is>
      </c>
      <c r="K8" s="163" t="inlineStr">
        <is>
          <t>VERIFIED</t>
        </is>
      </c>
      <c r="L8" s="86" t="inlineStr">
        <is>
          <t>VERIFIED - CURRENT</t>
        </is>
      </c>
      <c r="M8" s="86" t="inlineStr">
        <is>
          <t>faceviews/delphi_35328464.svg</t>
        </is>
      </c>
      <c r="N8" s="86" t="inlineStr">
        <is>
          <t>1 Speaker P TN -&gt; X055-35 RIGHT_DASHBOARD_SPEAKER_PASSTHROUGH_P | 2 Speaker N BK -&gt; X055-36 RIGHT_DASHBOARD_SPEAKER_PASSTHROUGH_N</t>
        </is>
      </c>
      <c r="O8" s="86" t="inlineStr"/>
      <c r="P8" s="86" t="inlineStr">
        <is>
          <t>COMPLETE</t>
        </is>
      </c>
    </row>
    <row r="9" ht="42" customHeight="1">
      <c r="A9" s="78" t="n">
        <v>8</v>
      </c>
      <c r="B9" s="78" t="inlineStr">
        <is>
          <t>SPK08</t>
        </is>
      </c>
      <c r="C9" s="78" t="inlineStr">
        <is>
          <t>Front left door 80 mm</t>
        </is>
      </c>
      <c r="D9" s="78" t="inlineStr">
        <is>
          <t>X570</t>
        </is>
      </c>
      <c r="E9" s="78" t="inlineStr">
        <is>
          <t>PAUDIO-only added position</t>
        </is>
      </c>
      <c r="F9" s="78" t="inlineStr">
        <is>
          <t>Speaker Front Left Door 80mm</t>
        </is>
      </c>
      <c r="G9" s="78" t="inlineStr">
        <is>
          <t>1679742-00-A</t>
        </is>
      </c>
      <c r="H9" s="78" t="inlineStr">
        <is>
          <t>DT</t>
        </is>
      </c>
      <c r="I9" s="78" t="inlineStr">
        <is>
          <t>Front Door Trim</t>
        </is>
      </c>
      <c r="J9" s="162" t="inlineStr">
        <is>
          <t>VERIFIED</t>
        </is>
      </c>
      <c r="K9" s="162" t="inlineStr">
        <is>
          <t>VERIFIED</t>
        </is>
      </c>
      <c r="L9" s="78" t="inlineStr">
        <is>
          <t>VERIFIED - CURRENT</t>
        </is>
      </c>
      <c r="M9" s="78" t="inlineStr">
        <is>
          <t>faceviews/delphi_35328464.svg</t>
        </is>
      </c>
      <c r="N9" s="78" t="inlineStr">
        <is>
          <t>1 11 GN -&gt; X922F-11 11 | 2 20 VT -&gt; X922F-20 20</t>
        </is>
      </c>
      <c r="O9" s="78" t="inlineStr">
        <is>
          <t>X560-9/10</t>
        </is>
      </c>
      <c r="P9" s="78" t="inlineStr">
        <is>
          <t>COMPLETE</t>
        </is>
      </c>
    </row>
    <row r="10" ht="42" customHeight="1">
      <c r="A10" s="78" t="n">
        <v>9</v>
      </c>
      <c r="B10" s="78" t="inlineStr">
        <is>
          <t>SPK09</t>
        </is>
      </c>
      <c r="C10" s="78" t="inlineStr">
        <is>
          <t>Front right door 80 mm</t>
        </is>
      </c>
      <c r="D10" s="78" t="inlineStr">
        <is>
          <t>X580</t>
        </is>
      </c>
      <c r="E10" s="78" t="inlineStr">
        <is>
          <t>PAUDIO-only added position</t>
        </is>
      </c>
      <c r="F10" s="78" t="inlineStr">
        <is>
          <t>Speaker Front Right Door 80mm</t>
        </is>
      </c>
      <c r="G10" s="78" t="inlineStr">
        <is>
          <t>1679742-00-A</t>
        </is>
      </c>
      <c r="H10" s="78" t="inlineStr">
        <is>
          <t>DT</t>
        </is>
      </c>
      <c r="I10" s="78" t="inlineStr">
        <is>
          <t>Front Door Trim</t>
        </is>
      </c>
      <c r="J10" s="162" t="inlineStr">
        <is>
          <t>VERIFIED</t>
        </is>
      </c>
      <c r="K10" s="162" t="inlineStr">
        <is>
          <t>VERIFIED</t>
        </is>
      </c>
      <c r="L10" s="78" t="inlineStr">
        <is>
          <t>VERIFIED - CURRENT</t>
        </is>
      </c>
      <c r="M10" s="78" t="inlineStr">
        <is>
          <t>faceviews/delphi_35328464.svg</t>
        </is>
      </c>
      <c r="N10" s="78" t="inlineStr">
        <is>
          <t>1 11 GN -&gt; X923F-11 11 | 2 20 VT -&gt; X923F-20 20</t>
        </is>
      </c>
      <c r="O10" s="78" t="inlineStr">
        <is>
          <t>X560-7/8</t>
        </is>
      </c>
      <c r="P10" s="78" t="inlineStr">
        <is>
          <t>COMPLETE</t>
        </is>
      </c>
    </row>
    <row r="11" ht="42" customHeight="1">
      <c r="A11" s="86" t="n">
        <v>10</v>
      </c>
      <c r="B11" s="86" t="inlineStr">
        <is>
          <t>SPK10</t>
        </is>
      </c>
      <c r="C11" s="86" t="inlineStr">
        <is>
          <t>Rear left door</t>
        </is>
      </c>
      <c r="D11" s="86" t="inlineStr">
        <is>
          <t>X586</t>
        </is>
      </c>
      <c r="E11" s="86" t="inlineStr">
        <is>
          <t>Existing BAUDIO / replace driver</t>
        </is>
      </c>
      <c r="F11" s="86" t="inlineStr">
        <is>
          <t>Speaker Rear Left Door</t>
        </is>
      </c>
      <c r="G11" s="86" t="inlineStr">
        <is>
          <t>1679742-00-A</t>
        </is>
      </c>
      <c r="H11" s="86" t="inlineStr">
        <is>
          <t>RT</t>
        </is>
      </c>
      <c r="I11" s="86" t="inlineStr">
        <is>
          <t>Rear Door Trim</t>
        </is>
      </c>
      <c r="J11" s="163" t="inlineStr">
        <is>
          <t>VERIFIED</t>
        </is>
      </c>
      <c r="K11" s="163" t="inlineStr">
        <is>
          <t>VERIFIED</t>
        </is>
      </c>
      <c r="L11" s="86" t="inlineStr">
        <is>
          <t>VERIFIED - PRIOR CAPTURE</t>
        </is>
      </c>
      <c r="M11" s="86" t="inlineStr">
        <is>
          <t>faceviews/delphi_35328464.svg</t>
        </is>
      </c>
      <c r="N11" s="86" t="inlineStr">
        <is>
          <t>1 Speaker P RD -&gt; X925F-1 1 | 2 Speaker N BK -&gt; X925F-12 12</t>
        </is>
      </c>
      <c r="O11" s="86" t="inlineStr">
        <is>
          <t>X560-1/2</t>
        </is>
      </c>
      <c r="P11" s="86" t="inlineStr">
        <is>
          <t>COMPLETE</t>
        </is>
      </c>
    </row>
    <row r="12" ht="42" customHeight="1">
      <c r="A12" s="86" t="n">
        <v>11</v>
      </c>
      <c r="B12" s="86" t="inlineStr">
        <is>
          <t>SPK11</t>
        </is>
      </c>
      <c r="C12" s="86" t="inlineStr">
        <is>
          <t>Rear right door</t>
        </is>
      </c>
      <c r="D12" s="86" t="inlineStr">
        <is>
          <t>X591</t>
        </is>
      </c>
      <c r="E12" s="86" t="inlineStr">
        <is>
          <t>Existing BAUDIO / replace driver</t>
        </is>
      </c>
      <c r="F12" s="86" t="inlineStr">
        <is>
          <t>Speaker Rear Right Door</t>
        </is>
      </c>
      <c r="G12" s="86" t="inlineStr">
        <is>
          <t>1679742-00-A</t>
        </is>
      </c>
      <c r="H12" s="86" t="inlineStr">
        <is>
          <t>RT</t>
        </is>
      </c>
      <c r="I12" s="86" t="inlineStr">
        <is>
          <t>Rear Door Trim</t>
        </is>
      </c>
      <c r="J12" s="163" t="inlineStr">
        <is>
          <t>VERIFIED</t>
        </is>
      </c>
      <c r="K12" s="163" t="inlineStr">
        <is>
          <t>VERIFIED</t>
        </is>
      </c>
      <c r="L12" s="86" t="inlineStr">
        <is>
          <t>VERIFIED - CURRENT</t>
        </is>
      </c>
      <c r="M12" s="86" t="inlineStr">
        <is>
          <t>faceviews/delphi_35328464.svg</t>
        </is>
      </c>
      <c r="N12" s="86" t="inlineStr">
        <is>
          <t>1 Speaker P RD -&gt; X927F-1 1 | 2 Speaker N BK -&gt; X927F-12 12</t>
        </is>
      </c>
      <c r="O12" s="86" t="inlineStr">
        <is>
          <t>X560-3/4</t>
        </is>
      </c>
      <c r="P12" s="86" t="inlineStr">
        <is>
          <t>COMPLETE</t>
        </is>
      </c>
    </row>
    <row r="13" ht="42" customHeight="1">
      <c r="A13" s="78" t="n">
        <v>12</v>
      </c>
      <c r="B13" s="78" t="inlineStr">
        <is>
          <t>SPK12</t>
        </is>
      </c>
      <c r="C13" s="78" t="inlineStr">
        <is>
          <t>Parcel shelf left</t>
        </is>
      </c>
      <c r="D13" s="78" t="inlineStr">
        <is>
          <t>X588</t>
        </is>
      </c>
      <c r="E13" s="78" t="inlineStr">
        <is>
          <t>PAUDIO-only added position</t>
        </is>
      </c>
      <c r="F13" s="78" t="inlineStr">
        <is>
          <t>Speaker Parcel Shelf Left</t>
        </is>
      </c>
      <c r="G13" s="78" t="inlineStr">
        <is>
          <t>1679742-00-A</t>
        </is>
      </c>
      <c r="H13" s="78" t="inlineStr">
        <is>
          <t>Q</t>
        </is>
      </c>
      <c r="I13" s="78" t="inlineStr">
        <is>
          <t>Parcel Shelf</t>
        </is>
      </c>
      <c r="J13" s="162" t="inlineStr">
        <is>
          <t>VERIFIED</t>
        </is>
      </c>
      <c r="K13" s="162" t="inlineStr">
        <is>
          <t>VERIFIED</t>
        </is>
      </c>
      <c r="L13" s="78" t="inlineStr">
        <is>
          <t>VERIFIED - CURRENT</t>
        </is>
      </c>
      <c r="M13" s="78" t="inlineStr">
        <is>
          <t>faceviews/delphi_35328464.svg</t>
        </is>
      </c>
      <c r="N13" s="78" t="inlineStr">
        <is>
          <t>1 3 VT -&gt; X970F-3 3 | 2 4 WH -&gt; X970F-4 4</t>
        </is>
      </c>
      <c r="O13" s="78" t="inlineStr">
        <is>
          <t>X560-11/12</t>
        </is>
      </c>
      <c r="P13" s="78" t="inlineStr">
        <is>
          <t>COMPLETE</t>
        </is>
      </c>
    </row>
    <row r="14" ht="42" customHeight="1">
      <c r="A14" s="78" t="n">
        <v>13</v>
      </c>
      <c r="B14" s="78" t="inlineStr">
        <is>
          <t>SPK13</t>
        </is>
      </c>
      <c r="C14" s="78" t="inlineStr">
        <is>
          <t>Parcel shelf right</t>
        </is>
      </c>
      <c r="D14" s="78" t="inlineStr">
        <is>
          <t>X593</t>
        </is>
      </c>
      <c r="E14" s="78" t="inlineStr">
        <is>
          <t>PAUDIO-only added position</t>
        </is>
      </c>
      <c r="F14" s="78" t="inlineStr">
        <is>
          <t>Speaker Parcel Shelf Right</t>
        </is>
      </c>
      <c r="G14" s="78" t="inlineStr">
        <is>
          <t>1679742-00-A</t>
        </is>
      </c>
      <c r="H14" s="78" t="inlineStr">
        <is>
          <t>Q</t>
        </is>
      </c>
      <c r="I14" s="78" t="inlineStr">
        <is>
          <t>Parcel Shelf</t>
        </is>
      </c>
      <c r="J14" s="162" t="inlineStr">
        <is>
          <t>VERIFIED</t>
        </is>
      </c>
      <c r="K14" s="162" t="inlineStr">
        <is>
          <t>VERIFIED</t>
        </is>
      </c>
      <c r="L14" s="78" t="inlineStr">
        <is>
          <t>VERIFIED - CURRENT</t>
        </is>
      </c>
      <c r="M14" s="78" t="inlineStr">
        <is>
          <t>faceviews/delphi_35328464.svg</t>
        </is>
      </c>
      <c r="N14" s="78" t="inlineStr">
        <is>
          <t>1 1 GY -&gt; X970F-1 1 | 2 2 YE -&gt; X970F-2 2</t>
        </is>
      </c>
      <c r="O14" s="78" t="inlineStr">
        <is>
          <t>X560-5/6</t>
        </is>
      </c>
      <c r="P14" s="78" t="inlineStr">
        <is>
          <t>COMPLETE</t>
        </is>
      </c>
    </row>
    <row r="15" ht="42" customHeight="1">
      <c r="A15" s="78" t="n">
        <v>14</v>
      </c>
      <c r="B15" s="78" t="inlineStr">
        <is>
          <t>SPK14</t>
        </is>
      </c>
      <c r="C15" s="78" t="inlineStr">
        <is>
          <t>Headliner left</t>
        </is>
      </c>
      <c r="D15" s="78" t="inlineStr">
        <is>
          <t>X569</t>
        </is>
      </c>
      <c r="E15" s="78" t="inlineStr">
        <is>
          <t>PAUDIO-only added position</t>
        </is>
      </c>
      <c r="F15" s="78" t="inlineStr">
        <is>
          <t>Speaker Headliner Left</t>
        </is>
      </c>
      <c r="G15" s="78" t="inlineStr">
        <is>
          <t>1015004-00-B</t>
        </is>
      </c>
      <c r="H15" s="78" t="inlineStr">
        <is>
          <t>K</t>
        </is>
      </c>
      <c r="I15" s="78" t="inlineStr">
        <is>
          <t>Headliner</t>
        </is>
      </c>
      <c r="J15" s="162" t="inlineStr">
        <is>
          <t>VERIFIED</t>
        </is>
      </c>
      <c r="K15" s="162" t="inlineStr">
        <is>
          <t>VERIFIED</t>
        </is>
      </c>
      <c r="L15" s="78" t="inlineStr">
        <is>
          <t>VERIFIED - CURRENT</t>
        </is>
      </c>
      <c r="M15" s="78" t="inlineStr">
        <is>
          <t>faceviews/delphi_13649797.svg</t>
        </is>
      </c>
      <c r="N15" s="78" t="inlineStr">
        <is>
          <t>1 Speaker P GN -&gt; X981F-1 1 | 2 Speaker N GY -&gt; X981F-11 11</t>
        </is>
      </c>
      <c r="O15" s="78" t="inlineStr"/>
      <c r="P15" s="78" t="inlineStr">
        <is>
          <t>COMPLETE</t>
        </is>
      </c>
    </row>
    <row r="16" ht="42" customHeight="1">
      <c r="A16" s="78" t="n">
        <v>15</v>
      </c>
      <c r="B16" s="78" t="inlineStr">
        <is>
          <t>SPK15</t>
        </is>
      </c>
      <c r="C16" s="78" t="inlineStr">
        <is>
          <t>Headliner right</t>
        </is>
      </c>
      <c r="D16" s="78" t="inlineStr">
        <is>
          <t>X579</t>
        </is>
      </c>
      <c r="E16" s="78" t="inlineStr">
        <is>
          <t>PAUDIO-only added position</t>
        </is>
      </c>
      <c r="F16" s="78" t="inlineStr">
        <is>
          <t>Speaker Headliner Right</t>
        </is>
      </c>
      <c r="G16" s="78" t="inlineStr">
        <is>
          <t>1015004-00-B</t>
        </is>
      </c>
      <c r="H16" s="78" t="inlineStr">
        <is>
          <t>K</t>
        </is>
      </c>
      <c r="I16" s="78" t="inlineStr">
        <is>
          <t>Headliner</t>
        </is>
      </c>
      <c r="J16" s="162" t="inlineStr">
        <is>
          <t>VERIFIED</t>
        </is>
      </c>
      <c r="K16" s="162" t="inlineStr">
        <is>
          <t>VERIFIED</t>
        </is>
      </c>
      <c r="L16" s="78" t="inlineStr">
        <is>
          <t>VERIFIED - CURRENT</t>
        </is>
      </c>
      <c r="M16" s="78" t="inlineStr">
        <is>
          <t>faceviews/delphi_13649797.svg</t>
        </is>
      </c>
      <c r="N16" s="78" t="inlineStr">
        <is>
          <t>1 Speaker P WH -&gt; X981F-10 10 | 2 Speaker N BN -&gt; X981F-18 18</t>
        </is>
      </c>
      <c r="O16" s="78" t="inlineStr"/>
      <c r="P16" s="78" t="inlineStr">
        <is>
          <t>COMPLETE</t>
        </is>
      </c>
    </row>
    <row r="19">
      <c r="A19" t="inlineStr">
        <is>
          <t>TARGET COVERAGE SUMMARY</t>
        </is>
      </c>
    </row>
    <row r="20">
      <c r="A20" t="inlineStr">
        <is>
          <t>Target connectors</t>
        </is>
      </c>
      <c r="B20">
        <f>COUNTA(D2:D16)</f>
        <v/>
      </c>
    </row>
    <row r="21">
      <c r="A21" t="inlineStr">
        <is>
          <t>Metadata verified</t>
        </is>
      </c>
      <c r="B21">
        <f>COUNTIF(J2:J16,"VERIFIED")</f>
        <v/>
      </c>
    </row>
    <row r="22">
      <c r="A22" t="inlineStr">
        <is>
          <t>Faceviews verified</t>
        </is>
      </c>
      <c r="B22">
        <f>COUNTIF(K2:K16,"VERIFIED")</f>
        <v/>
      </c>
    </row>
    <row r="23">
      <c r="A23" t="inlineStr">
        <is>
          <t>Location current capture</t>
        </is>
      </c>
      <c r="B23">
        <f>COUNTIF(L2:L16,"VERIFIED - CURRENT")</f>
        <v/>
      </c>
    </row>
    <row r="24">
      <c r="A24" t="inlineStr">
        <is>
          <t>Location prior capture</t>
        </is>
      </c>
      <c r="B24">
        <f>COUNTIF(L2:L16,"VERIFIED - PRIOR CAPTURE")</f>
        <v/>
      </c>
    </row>
    <row r="25">
      <c r="A25" t="inlineStr">
        <is>
          <t>Location visual gaps</t>
        </is>
      </c>
      <c r="B25">
        <f>COUNTIF(L2:L16,"VISUAL GAP*")</f>
        <v/>
      </c>
    </row>
  </sheetData>
  <autoFilter ref="A1:P1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242"/>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34" customWidth="1" min="3" max="3"/>
    <col width="45" customWidth="1" min="4" max="4"/>
    <col width="22" customWidth="1" min="5" max="5"/>
    <col width="12" customWidth="1" min="6" max="6"/>
    <col width="12" customWidth="1" min="7" max="7"/>
    <col width="66" customWidth="1" min="8" max="8"/>
    <col width="14" customWidth="1" min="9" max="9"/>
    <col width="100" customWidth="1" min="10" max="10"/>
  </cols>
  <sheetData>
    <row r="1">
      <c r="A1" s="76" t="inlineStr">
        <is>
          <t>#</t>
        </is>
      </c>
      <c r="B1" s="76" t="inlineStr">
        <is>
          <t>Connector</t>
        </is>
      </c>
      <c r="C1" s="76" t="inlineStr">
        <is>
          <t>Purpose</t>
        </is>
      </c>
      <c r="D1" s="76" t="inlineStr">
        <is>
          <t>ZIP path</t>
        </is>
      </c>
      <c r="E1" s="76" t="inlineStr">
        <is>
          <t>MIME</t>
        </is>
      </c>
      <c r="F1" s="76" t="inlineStr">
        <is>
          <t>Bytes</t>
        </is>
      </c>
      <c r="G1" s="76" t="inlineStr">
        <is>
          <t>HTTP</t>
        </is>
      </c>
      <c r="H1" s="76" t="inlineStr">
        <is>
          <t>SHA-256</t>
        </is>
      </c>
      <c r="I1" s="76" t="inlineStr">
        <is>
          <t>Integrity</t>
        </is>
      </c>
      <c r="J1" s="76" t="inlineStr">
        <is>
          <t>Source URL</t>
        </is>
      </c>
    </row>
    <row r="2">
      <c r="A2" s="15" t="n">
        <v>1</v>
      </c>
      <c r="B2" s="165" t="inlineStr"/>
      <c r="C2" s="165" t="inlineStr">
        <is>
          <t>core discovery source</t>
        </is>
      </c>
      <c r="D2" s="165" t="inlineStr">
        <is>
          <t>core/audio_lhd.svg</t>
        </is>
      </c>
      <c r="E2" s="165" t="inlineStr">
        <is>
          <t>image/svg+xml</t>
        </is>
      </c>
      <c r="F2" s="165" t="n">
        <v>591825</v>
      </c>
      <c r="G2" s="165" t="n">
        <v>200</v>
      </c>
      <c r="H2" s="165" t="inlineStr">
        <is>
          <t>686b0e884796d228d8dd05eaa5b25edd0ffefe48eab14d6844da9d21453683f5</t>
        </is>
      </c>
      <c r="I2" s="165" t="inlineStr">
        <is>
          <t>VERIFIED</t>
        </is>
      </c>
      <c r="J2" s="166" t="inlineStr">
        <is>
          <t>https://service.tesla.com/docs/Model3/ElectricalReference/prog-333/interactive/svg/audio_lhd.svg</t>
        </is>
      </c>
    </row>
    <row r="3">
      <c r="A3" s="15" t="n">
        <v>2</v>
      </c>
      <c r="B3" s="165" t="inlineStr"/>
      <c r="C3" s="165" t="inlineStr">
        <is>
          <t>core discovery source</t>
        </is>
      </c>
      <c r="D3" s="165" t="inlineStr">
        <is>
          <t>core/audio_premium_amp.svg</t>
        </is>
      </c>
      <c r="E3" s="165" t="inlineStr">
        <is>
          <t>image/svg+xml</t>
        </is>
      </c>
      <c r="F3" s="165" t="n">
        <v>442420</v>
      </c>
      <c r="G3" s="165" t="n">
        <v>200</v>
      </c>
      <c r="H3" s="165" t="inlineStr">
        <is>
          <t>a75b04378ba0d03d0c61e5db597883b06a51502ea67c460b7740e5be5ff0e24d</t>
        </is>
      </c>
      <c r="I3" s="165" t="inlineStr">
        <is>
          <t>VERIFIED</t>
        </is>
      </c>
      <c r="J3" s="166" t="inlineStr">
        <is>
          <t>https://service.tesla.com/docs/Model3/ElectricalReference/prog-333/interactive/svg/audio_premium_amp.svg</t>
        </is>
      </c>
    </row>
    <row r="4">
      <c r="A4" s="15" t="n">
        <v>3</v>
      </c>
      <c r="B4" s="165" t="inlineStr"/>
      <c r="C4" s="165" t="inlineStr">
        <is>
          <t>core discovery source</t>
        </is>
      </c>
      <c r="D4" s="165" t="inlineStr">
        <is>
          <t>core/connector_reference_export.json</t>
        </is>
      </c>
      <c r="E4" s="165" t="inlineStr">
        <is>
          <t>application/json</t>
        </is>
      </c>
      <c r="F4" s="165" t="n">
        <v>704935</v>
      </c>
      <c r="G4" s="165" t="n">
        <v>200</v>
      </c>
      <c r="H4" s="165" t="inlineStr">
        <is>
          <t>f3f01054a7922b35509ddc0169ed9e43f290182a7b9a3d9e9a72361b5e1fb27e</t>
        </is>
      </c>
      <c r="I4" s="165" t="inlineStr">
        <is>
          <t>VERIFIED</t>
        </is>
      </c>
      <c r="J4" s="166" t="inlineStr">
        <is>
          <t>https://service.tesla.com/docs/Model3/ElectricalReference/prog-333/interactive/json/connector_reference_export.json</t>
        </is>
      </c>
    </row>
    <row r="5">
      <c r="A5" s="15" t="n">
        <v>4</v>
      </c>
      <c r="B5" s="165" t="inlineStr"/>
      <c r="C5" s="165" t="inlineStr">
        <is>
          <t>core discovery source</t>
        </is>
      </c>
      <c r="D5" s="165" t="inlineStr">
        <is>
          <t>core/index_devices.csv</t>
        </is>
      </c>
      <c r="E5" s="165" t="inlineStr">
        <is>
          <t>text/csv</t>
        </is>
      </c>
      <c r="F5" s="165" t="n">
        <v>434632</v>
      </c>
      <c r="G5" s="165" t="n">
        <v>200</v>
      </c>
      <c r="H5" s="165" t="inlineStr">
        <is>
          <t>88e563334bdc85ca5bfa9caebbc7dd41a2dbb3bf49321435cf7ac601998d9617</t>
        </is>
      </c>
      <c r="I5" s="165" t="inlineStr">
        <is>
          <t>VERIFIED</t>
        </is>
      </c>
      <c r="J5" s="166" t="inlineStr">
        <is>
          <t>https://service.tesla.com/docs/Model3/ElectricalReference/prog-333/interactive/csv/index_devices.csv</t>
        </is>
      </c>
    </row>
    <row r="6">
      <c r="A6" s="15" t="n">
        <v>5</v>
      </c>
      <c r="B6" s="165" t="inlineStr"/>
      <c r="C6" s="165" t="inlineStr">
        <is>
          <t>core discovery source</t>
        </is>
      </c>
      <c r="D6" s="165" t="inlineStr">
        <is>
          <t>core/index_pages.csv</t>
        </is>
      </c>
      <c r="E6" s="165" t="inlineStr">
        <is>
          <t>text/csv</t>
        </is>
      </c>
      <c r="F6" s="165" t="n">
        <v>3084</v>
      </c>
      <c r="G6" s="165" t="n">
        <v>200</v>
      </c>
      <c r="H6" s="165" t="inlineStr">
        <is>
          <t>5859725972f094a2bde8bea91b12b88e379f9ac353cd940001d556a91e0d0ec7</t>
        </is>
      </c>
      <c r="I6" s="165" t="inlineStr">
        <is>
          <t>VERIFIED</t>
        </is>
      </c>
      <c r="J6" s="166" t="inlineStr">
        <is>
          <t>https://service.tesla.com/docs/Model3/ElectricalReference/prog-333/interactive/csv/index_pages.csv</t>
        </is>
      </c>
    </row>
    <row r="7">
      <c r="A7" s="15" t="n">
        <v>6</v>
      </c>
      <c r="B7" s="165" t="inlineStr"/>
      <c r="C7" s="165" t="inlineStr">
        <is>
          <t>core discovery source</t>
        </is>
      </c>
      <c r="D7" s="165" t="inlineStr">
        <is>
          <t>core/index_explorer.csv</t>
        </is>
      </c>
      <c r="E7" s="165" t="inlineStr">
        <is>
          <t>text/csv</t>
        </is>
      </c>
      <c r="F7" s="165" t="n">
        <v>336378</v>
      </c>
      <c r="G7" s="165" t="n">
        <v>200</v>
      </c>
      <c r="H7" s="165" t="inlineStr">
        <is>
          <t>e1424a5623945d4adab259d67f2f2ea8b733bc5cd2bf45d9e6b876566a21a11d</t>
        </is>
      </c>
      <c r="I7" s="165" t="inlineStr">
        <is>
          <t>VERIFIED</t>
        </is>
      </c>
      <c r="J7" s="166" t="inlineStr">
        <is>
          <t>https://service.tesla.com/docs/Model3/ElectricalReference/prog-333/interactive/csv/index_explorer.csv</t>
        </is>
      </c>
    </row>
    <row r="8">
      <c r="A8" s="15" t="n">
        <v>7</v>
      </c>
      <c r="B8" s="165" t="inlineStr"/>
      <c r="C8" s="165" t="inlineStr">
        <is>
          <t>automatic connector discovery result</t>
        </is>
      </c>
      <c r="D8" s="165" t="inlineStr">
        <is>
          <t>catalog/discovered-connectors.json</t>
        </is>
      </c>
      <c r="E8" s="165" t="inlineStr">
        <is>
          <t>application/json</t>
        </is>
      </c>
      <c r="F8" s="165" t="n">
        <v>17455</v>
      </c>
      <c r="G8" s="165" t="inlineStr">
        <is>
          <t>generated</t>
        </is>
      </c>
      <c r="H8" s="165" t="inlineStr">
        <is>
          <t>2757e87f76a286b79577901c2bf9b8efd4f19807823674747e4996a8356d6423</t>
        </is>
      </c>
      <c r="I8" s="165" t="inlineStr">
        <is>
          <t>VERIFIED</t>
        </is>
      </c>
      <c r="J8" s="166" t="inlineStr">
        <is>
          <t>https://service.tesla.com/docs/Model3/ElectricalReference/prog-333/interactive/json/connector_reference_export.json</t>
        </is>
      </c>
    </row>
    <row r="9">
      <c r="A9" s="15" t="n">
        <v>8</v>
      </c>
      <c r="B9" s="165" t="inlineStr">
        <is>
          <t>X010</t>
        </is>
      </c>
      <c r="C9" s="165" t="inlineStr">
        <is>
          <t>connector metadata extracted from connector reference</t>
        </is>
      </c>
      <c r="D9" s="165" t="inlineStr">
        <is>
          <t>connectors/X010/metadata.json</t>
        </is>
      </c>
      <c r="E9" s="165" t="inlineStr">
        <is>
          <t>application/json</t>
        </is>
      </c>
      <c r="F9" s="165" t="n">
        <v>15398</v>
      </c>
      <c r="G9" s="165" t="inlineStr">
        <is>
          <t>generated</t>
        </is>
      </c>
      <c r="H9" s="165" t="inlineStr">
        <is>
          <t>c93827703b239217f92f6d572abb630ea9039e80c062a75549f365f1ebcd46e3</t>
        </is>
      </c>
      <c r="I9" s="165" t="inlineStr">
        <is>
          <t>VERIFIED</t>
        </is>
      </c>
      <c r="J9" s="166" t="inlineStr">
        <is>
          <t>https://service.tesla.com/docs/Model3/ElectricalReference/prog-333/interactive/json/connector_reference_export.json</t>
        </is>
      </c>
    </row>
    <row r="10">
      <c r="A10" s="15" t="n">
        <v>9</v>
      </c>
      <c r="B10" s="165" t="inlineStr">
        <is>
          <t>X030A</t>
        </is>
      </c>
      <c r="C10" s="165" t="inlineStr">
        <is>
          <t>connector metadata extracted from connector reference</t>
        </is>
      </c>
      <c r="D10" s="165" t="inlineStr">
        <is>
          <t>connectors/X030A/metadata.json</t>
        </is>
      </c>
      <c r="E10" s="165" t="inlineStr">
        <is>
          <t>application/json</t>
        </is>
      </c>
      <c r="F10" s="165" t="n">
        <v>7392</v>
      </c>
      <c r="G10" s="165" t="inlineStr">
        <is>
          <t>generated</t>
        </is>
      </c>
      <c r="H10" s="165" t="inlineStr">
        <is>
          <t>08eb37c5103effcdfc244a0266dd9363008c3f0fcd3999f3c21ac0827629c6e4</t>
        </is>
      </c>
      <c r="I10" s="165" t="inlineStr">
        <is>
          <t>VERIFIED</t>
        </is>
      </c>
      <c r="J10" s="166" t="inlineStr">
        <is>
          <t>https://service.tesla.com/docs/Model3/ElectricalReference/prog-333/interactive/json/connector_reference_export.json</t>
        </is>
      </c>
    </row>
    <row r="11">
      <c r="A11" s="15" t="n">
        <v>10</v>
      </c>
      <c r="B11" s="165" t="inlineStr">
        <is>
          <t>X030B</t>
        </is>
      </c>
      <c r="C11" s="165" t="inlineStr">
        <is>
          <t>connector metadata extracted from connector reference</t>
        </is>
      </c>
      <c r="D11" s="165" t="inlineStr">
        <is>
          <t>connectors/X030B/metadata.json</t>
        </is>
      </c>
      <c r="E11" s="165" t="inlineStr">
        <is>
          <t>application/json</t>
        </is>
      </c>
      <c r="F11" s="165" t="n">
        <v>558</v>
      </c>
      <c r="G11" s="165" t="inlineStr">
        <is>
          <t>generated</t>
        </is>
      </c>
      <c r="H11" s="165" t="inlineStr">
        <is>
          <t>ba241bc9f4316bbb3d9983cd11bd55763df314a21c2e73152741dcded44d62d7</t>
        </is>
      </c>
      <c r="I11" s="165" t="inlineStr">
        <is>
          <t>VERIFIED</t>
        </is>
      </c>
      <c r="J11" s="166" t="inlineStr">
        <is>
          <t>https://service.tesla.com/docs/Model3/ElectricalReference/prog-333/interactive/json/connector_reference_export.json</t>
        </is>
      </c>
    </row>
    <row r="12">
      <c r="A12" s="15" t="n">
        <v>11</v>
      </c>
      <c r="B12" s="165" t="inlineStr">
        <is>
          <t>X031</t>
        </is>
      </c>
      <c r="C12" s="165" t="inlineStr">
        <is>
          <t>connector metadata extracted from connector reference</t>
        </is>
      </c>
      <c r="D12" s="165" t="inlineStr">
        <is>
          <t>connectors/X031/metadata.json</t>
        </is>
      </c>
      <c r="E12" s="165" t="inlineStr">
        <is>
          <t>application/json</t>
        </is>
      </c>
      <c r="F12" s="165" t="n">
        <v>10188</v>
      </c>
      <c r="G12" s="165" t="inlineStr">
        <is>
          <t>generated</t>
        </is>
      </c>
      <c r="H12" s="165" t="inlineStr">
        <is>
          <t>6deee48c1acb61ea3bcc2915a6c70f4c930fa77ccbe25bfc1cfd4d8b2d7400a5</t>
        </is>
      </c>
      <c r="I12" s="165" t="inlineStr">
        <is>
          <t>VERIFIED</t>
        </is>
      </c>
      <c r="J12" s="166" t="inlineStr">
        <is>
          <t>https://service.tesla.com/docs/Model3/ElectricalReference/prog-333/interactive/json/connector_reference_export.json</t>
        </is>
      </c>
    </row>
    <row r="13">
      <c r="A13" s="15" t="n">
        <v>12</v>
      </c>
      <c r="B13" s="165" t="inlineStr">
        <is>
          <t>X032</t>
        </is>
      </c>
      <c r="C13" s="165" t="inlineStr">
        <is>
          <t>connector metadata extracted from connector reference</t>
        </is>
      </c>
      <c r="D13" s="165" t="inlineStr">
        <is>
          <t>connectors/X032/metadata.json</t>
        </is>
      </c>
      <c r="E13" s="165" t="inlineStr">
        <is>
          <t>application/json</t>
        </is>
      </c>
      <c r="F13" s="165" t="n">
        <v>10653</v>
      </c>
      <c r="G13" s="165" t="inlineStr">
        <is>
          <t>generated</t>
        </is>
      </c>
      <c r="H13" s="165" t="inlineStr">
        <is>
          <t>aeee3ef4625f3ea66f642a90cb55c9617e587af794243b9cc82b78aad6b722d4</t>
        </is>
      </c>
      <c r="I13" s="165" t="inlineStr">
        <is>
          <t>VERIFIED</t>
        </is>
      </c>
      <c r="J13" s="166" t="inlineStr">
        <is>
          <t>https://service.tesla.com/docs/Model3/ElectricalReference/prog-333/interactive/json/connector_reference_export.json</t>
        </is>
      </c>
    </row>
    <row r="14">
      <c r="A14" s="15" t="n">
        <v>13</v>
      </c>
      <c r="B14" s="165" t="inlineStr">
        <is>
          <t>X033A</t>
        </is>
      </c>
      <c r="C14" s="165" t="inlineStr">
        <is>
          <t>connector metadata extracted from connector reference</t>
        </is>
      </c>
      <c r="D14" s="165" t="inlineStr">
        <is>
          <t>connectors/X033A/metadata.json</t>
        </is>
      </c>
      <c r="E14" s="165" t="inlineStr">
        <is>
          <t>application/json</t>
        </is>
      </c>
      <c r="F14" s="165" t="n">
        <v>6032</v>
      </c>
      <c r="G14" s="165" t="inlineStr">
        <is>
          <t>generated</t>
        </is>
      </c>
      <c r="H14" s="165" t="inlineStr">
        <is>
          <t>3de5338e94c9045a5a288071a0be8738b29c0244efa5d7607a91d19b4c615bbe</t>
        </is>
      </c>
      <c r="I14" s="165" t="inlineStr">
        <is>
          <t>VERIFIED</t>
        </is>
      </c>
      <c r="J14" s="166" t="inlineStr">
        <is>
          <t>https://service.tesla.com/docs/Model3/ElectricalReference/prog-333/interactive/json/connector_reference_export.json</t>
        </is>
      </c>
    </row>
    <row r="15">
      <c r="A15" s="15" t="n">
        <v>14</v>
      </c>
      <c r="B15" s="165" t="inlineStr">
        <is>
          <t>X033B</t>
        </is>
      </c>
      <c r="C15" s="165" t="inlineStr">
        <is>
          <t>connector metadata extracted from connector reference</t>
        </is>
      </c>
      <c r="D15" s="165" t="inlineStr">
        <is>
          <t>connectors/X033B/metadata.json</t>
        </is>
      </c>
      <c r="E15" s="165" t="inlineStr">
        <is>
          <t>application/json</t>
        </is>
      </c>
      <c r="F15" s="165" t="n">
        <v>6961</v>
      </c>
      <c r="G15" s="165" t="inlineStr">
        <is>
          <t>generated</t>
        </is>
      </c>
      <c r="H15" s="165" t="inlineStr">
        <is>
          <t>961639b257be1187d580bb89aff8ef5c177cea093c1aeb9aa95d2f5332dc903e</t>
        </is>
      </c>
      <c r="I15" s="165" t="inlineStr">
        <is>
          <t>VERIFIED</t>
        </is>
      </c>
      <c r="J15" s="166" t="inlineStr">
        <is>
          <t>https://service.tesla.com/docs/Model3/ElectricalReference/prog-333/interactive/json/connector_reference_export.json</t>
        </is>
      </c>
    </row>
    <row r="16">
      <c r="A16" s="15" t="n">
        <v>15</v>
      </c>
      <c r="B16" s="165" t="inlineStr">
        <is>
          <t>X035</t>
        </is>
      </c>
      <c r="C16" s="165" t="inlineStr">
        <is>
          <t>connector metadata extracted from connector reference</t>
        </is>
      </c>
      <c r="D16" s="165" t="inlineStr">
        <is>
          <t>connectors/X035/metadata.json</t>
        </is>
      </c>
      <c r="E16" s="165" t="inlineStr">
        <is>
          <t>application/json</t>
        </is>
      </c>
      <c r="F16" s="165" t="n">
        <v>11820</v>
      </c>
      <c r="G16" s="165" t="inlineStr">
        <is>
          <t>generated</t>
        </is>
      </c>
      <c r="H16" s="165" t="inlineStr">
        <is>
          <t>1b7a576ee0afb3275f07aeddb6197a1ec28695802dd1d6aa89860c43aa4ddcc8</t>
        </is>
      </c>
      <c r="I16" s="165" t="inlineStr">
        <is>
          <t>VERIFIED</t>
        </is>
      </c>
      <c r="J16" s="166" t="inlineStr">
        <is>
          <t>https://service.tesla.com/docs/Model3/ElectricalReference/prog-333/interactive/json/connector_reference_export.json</t>
        </is>
      </c>
    </row>
    <row r="17">
      <c r="A17" s="15" t="n">
        <v>16</v>
      </c>
      <c r="B17" s="165" t="inlineStr">
        <is>
          <t>X037</t>
        </is>
      </c>
      <c r="C17" s="165" t="inlineStr">
        <is>
          <t>connector metadata extracted from connector reference</t>
        </is>
      </c>
      <c r="D17" s="165" t="inlineStr">
        <is>
          <t>connectors/X037/metadata.json</t>
        </is>
      </c>
      <c r="E17" s="165" t="inlineStr">
        <is>
          <t>application/json</t>
        </is>
      </c>
      <c r="F17" s="165" t="n">
        <v>7169</v>
      </c>
      <c r="G17" s="165" t="inlineStr">
        <is>
          <t>generated</t>
        </is>
      </c>
      <c r="H17" s="165" t="inlineStr">
        <is>
          <t>abad0e2a6c7d2d1a70387ecaa48f97d78bbb80e1eb04184f95eeafb3d6673b08</t>
        </is>
      </c>
      <c r="I17" s="165" t="inlineStr">
        <is>
          <t>VERIFIED</t>
        </is>
      </c>
      <c r="J17" s="166" t="inlineStr">
        <is>
          <t>https://service.tesla.com/docs/Model3/ElectricalReference/prog-333/interactive/json/connector_reference_export.json</t>
        </is>
      </c>
    </row>
    <row r="18">
      <c r="A18" s="15" t="n">
        <v>17</v>
      </c>
      <c r="B18" s="165" t="inlineStr">
        <is>
          <t>X038</t>
        </is>
      </c>
      <c r="C18" s="165" t="inlineStr">
        <is>
          <t>connector metadata extracted from connector reference</t>
        </is>
      </c>
      <c r="D18" s="165" t="inlineStr">
        <is>
          <t>connectors/X038/metadata.json</t>
        </is>
      </c>
      <c r="E18" s="165" t="inlineStr">
        <is>
          <t>application/json</t>
        </is>
      </c>
      <c r="F18" s="165" t="n">
        <v>1358</v>
      </c>
      <c r="G18" s="165" t="inlineStr">
        <is>
          <t>generated</t>
        </is>
      </c>
      <c r="H18" s="165" t="inlineStr">
        <is>
          <t>1df7b3cf2036afedc12170f7a26c4354b2bcccba1f024f80f92462391c494419</t>
        </is>
      </c>
      <c r="I18" s="165" t="inlineStr">
        <is>
          <t>VERIFIED</t>
        </is>
      </c>
      <c r="J18" s="166" t="inlineStr">
        <is>
          <t>https://service.tesla.com/docs/Model3/ElectricalReference/prog-333/interactive/json/connector_reference_export.json</t>
        </is>
      </c>
    </row>
    <row r="19">
      <c r="A19" s="15" t="n">
        <v>18</v>
      </c>
      <c r="B19" s="165" t="inlineStr">
        <is>
          <t>X039</t>
        </is>
      </c>
      <c r="C19" s="165" t="inlineStr">
        <is>
          <t>connector metadata extracted from connector reference</t>
        </is>
      </c>
      <c r="D19" s="165" t="inlineStr">
        <is>
          <t>connectors/X039/metadata.json</t>
        </is>
      </c>
      <c r="E19" s="165" t="inlineStr">
        <is>
          <t>application/json</t>
        </is>
      </c>
      <c r="F19" s="165" t="n">
        <v>6777</v>
      </c>
      <c r="G19" s="165" t="inlineStr">
        <is>
          <t>generated</t>
        </is>
      </c>
      <c r="H19" s="165" t="inlineStr">
        <is>
          <t>e6ae88a8a5124816e0c04f1f13a376a113fb22f8e35159bf15480ffaf766d796</t>
        </is>
      </c>
      <c r="I19" s="165" t="inlineStr">
        <is>
          <t>VERIFIED</t>
        </is>
      </c>
      <c r="J19" s="166" t="inlineStr">
        <is>
          <t>https://service.tesla.com/docs/Model3/ElectricalReference/prog-333/interactive/json/connector_reference_export.json</t>
        </is>
      </c>
    </row>
    <row r="20">
      <c r="A20" s="15" t="n">
        <v>19</v>
      </c>
      <c r="B20" s="165" t="inlineStr">
        <is>
          <t>X050</t>
        </is>
      </c>
      <c r="C20" s="165" t="inlineStr">
        <is>
          <t>connector metadata extracted from connector reference</t>
        </is>
      </c>
      <c r="D20" s="165" t="inlineStr">
        <is>
          <t>connectors/X050/metadata.json</t>
        </is>
      </c>
      <c r="E20" s="165" t="inlineStr">
        <is>
          <t>application/json</t>
        </is>
      </c>
      <c r="F20" s="165" t="n">
        <v>11197</v>
      </c>
      <c r="G20" s="165" t="inlineStr">
        <is>
          <t>generated</t>
        </is>
      </c>
      <c r="H20" s="165" t="inlineStr">
        <is>
          <t>0642df01b7f4fd73b10d41e71b5b1c560cf2c2f946f9da6ab2675f52856b1595</t>
        </is>
      </c>
      <c r="I20" s="165" t="inlineStr">
        <is>
          <t>VERIFIED</t>
        </is>
      </c>
      <c r="J20" s="166" t="inlineStr">
        <is>
          <t>https://service.tesla.com/docs/Model3/ElectricalReference/prog-333/interactive/json/connector_reference_export.json</t>
        </is>
      </c>
    </row>
    <row r="21">
      <c r="A21" s="15" t="n">
        <v>20</v>
      </c>
      <c r="B21" s="165" t="inlineStr">
        <is>
          <t>X050A</t>
        </is>
      </c>
      <c r="C21" s="165" t="inlineStr">
        <is>
          <t>connector metadata extracted from connector reference</t>
        </is>
      </c>
      <c r="D21" s="165" t="inlineStr">
        <is>
          <t>connectors/X050A/metadata.json</t>
        </is>
      </c>
      <c r="E21" s="165" t="inlineStr">
        <is>
          <t>application/json</t>
        </is>
      </c>
      <c r="F21" s="165" t="n">
        <v>28</v>
      </c>
      <c r="G21" s="165" t="inlineStr">
        <is>
          <t>generated</t>
        </is>
      </c>
      <c r="H21" s="165" t="inlineStr">
        <is>
          <t>de703336bd9b144011c0c0bb71b411eb0a28211edee61017bf66b780eb8f4c63</t>
        </is>
      </c>
      <c r="I21" s="165" t="inlineStr">
        <is>
          <t>VERIFIED</t>
        </is>
      </c>
      <c r="J21" s="166" t="inlineStr">
        <is>
          <t>https://service.tesla.com/docs/Model3/ElectricalReference/prog-333/interactive/json/connector_reference_export.json</t>
        </is>
      </c>
    </row>
    <row r="22">
      <c r="A22" s="15" t="n">
        <v>21</v>
      </c>
      <c r="B22" s="165" t="inlineStr">
        <is>
          <t>X050B</t>
        </is>
      </c>
      <c r="C22" s="165" t="inlineStr">
        <is>
          <t>connector metadata extracted from connector reference</t>
        </is>
      </c>
      <c r="D22" s="165" t="inlineStr">
        <is>
          <t>connectors/X050B/metadata.json</t>
        </is>
      </c>
      <c r="E22" s="165" t="inlineStr">
        <is>
          <t>application/json</t>
        </is>
      </c>
      <c r="F22" s="165" t="n">
        <v>28</v>
      </c>
      <c r="G22" s="165" t="inlineStr">
        <is>
          <t>generated</t>
        </is>
      </c>
      <c r="H22" s="165" t="inlineStr">
        <is>
          <t>2c0a1ddcdb75944a5113c4dd0be12bfbf5356931f1c1015d4ece994d282f66d4</t>
        </is>
      </c>
      <c r="I22" s="165" t="inlineStr">
        <is>
          <t>VERIFIED</t>
        </is>
      </c>
      <c r="J22" s="166" t="inlineStr">
        <is>
          <t>https://service.tesla.com/docs/Model3/ElectricalReference/prog-333/interactive/json/connector_reference_export.json</t>
        </is>
      </c>
    </row>
    <row r="23">
      <c r="A23" s="15" t="n">
        <v>22</v>
      </c>
      <c r="B23" s="165" t="inlineStr">
        <is>
          <t>X051</t>
        </is>
      </c>
      <c r="C23" s="165" t="inlineStr">
        <is>
          <t>connector metadata extracted from connector reference</t>
        </is>
      </c>
      <c r="D23" s="165" t="inlineStr">
        <is>
          <t>connectors/X051/metadata.json</t>
        </is>
      </c>
      <c r="E23" s="165" t="inlineStr">
        <is>
          <t>application/json</t>
        </is>
      </c>
      <c r="F23" s="165" t="n">
        <v>12300</v>
      </c>
      <c r="G23" s="165" t="inlineStr">
        <is>
          <t>generated</t>
        </is>
      </c>
      <c r="H23" s="165" t="inlineStr">
        <is>
          <t>1bd687b964ce8e06c1e332ec3246e64b0354b86f26afa5a632cb2c01b34291ff</t>
        </is>
      </c>
      <c r="I23" s="165" t="inlineStr">
        <is>
          <t>VERIFIED</t>
        </is>
      </c>
      <c r="J23" s="166" t="inlineStr">
        <is>
          <t>https://service.tesla.com/docs/Model3/ElectricalReference/prog-333/interactive/json/connector_reference_export.json</t>
        </is>
      </c>
    </row>
    <row r="24">
      <c r="A24" s="15" t="n">
        <v>23</v>
      </c>
      <c r="B24" s="165" t="inlineStr">
        <is>
          <t>X052</t>
        </is>
      </c>
      <c r="C24" s="165" t="inlineStr">
        <is>
          <t>connector metadata extracted from connector reference</t>
        </is>
      </c>
      <c r="D24" s="165" t="inlineStr">
        <is>
          <t>connectors/X052/metadata.json</t>
        </is>
      </c>
      <c r="E24" s="165" t="inlineStr">
        <is>
          <t>application/json</t>
        </is>
      </c>
      <c r="F24" s="165" t="n">
        <v>12188</v>
      </c>
      <c r="G24" s="165" t="inlineStr">
        <is>
          <t>generated</t>
        </is>
      </c>
      <c r="H24" s="165" t="inlineStr">
        <is>
          <t>9df14a4916f3b20c2d8fd56d247f9586dd997efdf4a4bc1a34790ea1d666a806</t>
        </is>
      </c>
      <c r="I24" s="165" t="inlineStr">
        <is>
          <t>VERIFIED</t>
        </is>
      </c>
      <c r="J24" s="166" t="inlineStr">
        <is>
          <t>https://service.tesla.com/docs/Model3/ElectricalReference/prog-333/interactive/json/connector_reference_export.json</t>
        </is>
      </c>
    </row>
    <row r="25">
      <c r="A25" s="15" t="n">
        <v>24</v>
      </c>
      <c r="B25" s="165" t="inlineStr">
        <is>
          <t>X053A</t>
        </is>
      </c>
      <c r="C25" s="165" t="inlineStr">
        <is>
          <t>connector metadata extracted from connector reference</t>
        </is>
      </c>
      <c r="D25" s="165" t="inlineStr">
        <is>
          <t>connectors/X053A/metadata.json</t>
        </is>
      </c>
      <c r="E25" s="165" t="inlineStr">
        <is>
          <t>application/json</t>
        </is>
      </c>
      <c r="F25" s="165" t="n">
        <v>7067</v>
      </c>
      <c r="G25" s="165" t="inlineStr">
        <is>
          <t>generated</t>
        </is>
      </c>
      <c r="H25" s="165" t="inlineStr">
        <is>
          <t>db0d783d1cc573224945fc2889131220156c613ad94066dcc1a5fe70f5556e25</t>
        </is>
      </c>
      <c r="I25" s="165" t="inlineStr">
        <is>
          <t>VERIFIED</t>
        </is>
      </c>
      <c r="J25" s="166" t="inlineStr">
        <is>
          <t>https://service.tesla.com/docs/Model3/ElectricalReference/prog-333/interactive/json/connector_reference_export.json</t>
        </is>
      </c>
    </row>
    <row r="26">
      <c r="A26" s="15" t="n">
        <v>25</v>
      </c>
      <c r="B26" s="165" t="inlineStr">
        <is>
          <t>X053B</t>
        </is>
      </c>
      <c r="C26" s="165" t="inlineStr">
        <is>
          <t>connector metadata extracted from connector reference</t>
        </is>
      </c>
      <c r="D26" s="165" t="inlineStr">
        <is>
          <t>connectors/X053B/metadata.json</t>
        </is>
      </c>
      <c r="E26" s="165" t="inlineStr">
        <is>
          <t>application/json</t>
        </is>
      </c>
      <c r="F26" s="165" t="n">
        <v>6035</v>
      </c>
      <c r="G26" s="165" t="inlineStr">
        <is>
          <t>generated</t>
        </is>
      </c>
      <c r="H26" s="165" t="inlineStr">
        <is>
          <t>63e9a52ebcfb53cd55442d6deb020a98589b7b2d743871477875e13b7f44a588</t>
        </is>
      </c>
      <c r="I26" s="165" t="inlineStr">
        <is>
          <t>VERIFIED</t>
        </is>
      </c>
      <c r="J26" s="166" t="inlineStr">
        <is>
          <t>https://service.tesla.com/docs/Model3/ElectricalReference/prog-333/interactive/json/connector_reference_export.json</t>
        </is>
      </c>
    </row>
    <row r="27">
      <c r="A27" s="15" t="n">
        <v>26</v>
      </c>
      <c r="B27" s="165" t="inlineStr">
        <is>
          <t>X055</t>
        </is>
      </c>
      <c r="C27" s="165" t="inlineStr">
        <is>
          <t>connector metadata extracted from connector reference</t>
        </is>
      </c>
      <c r="D27" s="165" t="inlineStr">
        <is>
          <t>connectors/X055/metadata.json</t>
        </is>
      </c>
      <c r="E27" s="165" t="inlineStr">
        <is>
          <t>application/json</t>
        </is>
      </c>
      <c r="F27" s="165" t="n">
        <v>11563</v>
      </c>
      <c r="G27" s="165" t="inlineStr">
        <is>
          <t>generated</t>
        </is>
      </c>
      <c r="H27" s="165" t="inlineStr">
        <is>
          <t>a74d20ec99e0da6b1edde8f96a211e28d583935a13a02c46eafda7f7f1c3a77b</t>
        </is>
      </c>
      <c r="I27" s="165" t="inlineStr">
        <is>
          <t>VERIFIED</t>
        </is>
      </c>
      <c r="J27" s="166" t="inlineStr">
        <is>
          <t>https://service.tesla.com/docs/Model3/ElectricalReference/prog-333/interactive/json/connector_reference_export.json</t>
        </is>
      </c>
    </row>
    <row r="28">
      <c r="A28" s="15" t="n">
        <v>27</v>
      </c>
      <c r="B28" s="165" t="inlineStr">
        <is>
          <t>X056</t>
        </is>
      </c>
      <c r="C28" s="165" t="inlineStr">
        <is>
          <t>connector metadata extracted from connector reference</t>
        </is>
      </c>
      <c r="D28" s="165" t="inlineStr">
        <is>
          <t>connectors/X056/metadata.json</t>
        </is>
      </c>
      <c r="E28" s="165" t="inlineStr">
        <is>
          <t>application/json</t>
        </is>
      </c>
      <c r="F28" s="165" t="n">
        <v>789</v>
      </c>
      <c r="G28" s="165" t="inlineStr">
        <is>
          <t>generated</t>
        </is>
      </c>
      <c r="H28" s="165" t="inlineStr">
        <is>
          <t>64c0ef7ee099ce92cd82d4d6a2e919dcf3dabb856eb53c059889a0f1a5dcef69</t>
        </is>
      </c>
      <c r="I28" s="165" t="inlineStr">
        <is>
          <t>VERIFIED</t>
        </is>
      </c>
      <c r="J28" s="166" t="inlineStr">
        <is>
          <t>https://service.tesla.com/docs/Model3/ElectricalReference/prog-333/interactive/json/connector_reference_export.json</t>
        </is>
      </c>
    </row>
    <row r="29">
      <c r="A29" s="15" t="n">
        <v>28</v>
      </c>
      <c r="B29" s="165" t="inlineStr">
        <is>
          <t>X057</t>
        </is>
      </c>
      <c r="C29" s="165" t="inlineStr">
        <is>
          <t>connector metadata extracted from connector reference</t>
        </is>
      </c>
      <c r="D29" s="165" t="inlineStr">
        <is>
          <t>connectors/X057/metadata.json</t>
        </is>
      </c>
      <c r="E29" s="165" t="inlineStr">
        <is>
          <t>application/json</t>
        </is>
      </c>
      <c r="F29" s="165" t="n">
        <v>6754</v>
      </c>
      <c r="G29" s="165" t="inlineStr">
        <is>
          <t>generated</t>
        </is>
      </c>
      <c r="H29" s="165" t="inlineStr">
        <is>
          <t>d75e4d104af1fba83cfeac85d221011db0ad032d693e6538c352e71af0d05d2c</t>
        </is>
      </c>
      <c r="I29" s="165" t="inlineStr">
        <is>
          <t>VERIFIED</t>
        </is>
      </c>
      <c r="J29" s="166" t="inlineStr">
        <is>
          <t>https://service.tesla.com/docs/Model3/ElectricalReference/prog-333/interactive/json/connector_reference_export.json</t>
        </is>
      </c>
    </row>
    <row r="30">
      <c r="A30" s="15" t="n">
        <v>29</v>
      </c>
      <c r="B30" s="165" t="inlineStr">
        <is>
          <t>X058</t>
        </is>
      </c>
      <c r="C30" s="165" t="inlineStr">
        <is>
          <t>connector metadata extracted from connector reference</t>
        </is>
      </c>
      <c r="D30" s="165" t="inlineStr">
        <is>
          <t>connectors/X058/metadata.json</t>
        </is>
      </c>
      <c r="E30" s="165" t="inlineStr">
        <is>
          <t>application/json</t>
        </is>
      </c>
      <c r="F30" s="165" t="n">
        <v>5823</v>
      </c>
      <c r="G30" s="165" t="inlineStr">
        <is>
          <t>generated</t>
        </is>
      </c>
      <c r="H30" s="165" t="inlineStr">
        <is>
          <t>8317123e32019442a4796b7fee3a78237325a3df1e1ae341fd78b5014721f002</t>
        </is>
      </c>
      <c r="I30" s="165" t="inlineStr">
        <is>
          <t>VERIFIED</t>
        </is>
      </c>
      <c r="J30" s="166" t="inlineStr">
        <is>
          <t>https://service.tesla.com/docs/Model3/ElectricalReference/prog-333/interactive/json/connector_reference_export.json</t>
        </is>
      </c>
    </row>
    <row r="31">
      <c r="A31" s="15" t="n">
        <v>30</v>
      </c>
      <c r="B31" s="165" t="inlineStr">
        <is>
          <t>X059</t>
        </is>
      </c>
      <c r="C31" s="165" t="inlineStr">
        <is>
          <t>connector metadata extracted from connector reference</t>
        </is>
      </c>
      <c r="D31" s="165" t="inlineStr">
        <is>
          <t>connectors/X059/metadata.json</t>
        </is>
      </c>
      <c r="E31" s="165" t="inlineStr">
        <is>
          <t>application/json</t>
        </is>
      </c>
      <c r="F31" s="165" t="n">
        <v>6727</v>
      </c>
      <c r="G31" s="165" t="inlineStr">
        <is>
          <t>generated</t>
        </is>
      </c>
      <c r="H31" s="165" t="inlineStr">
        <is>
          <t>dde07bade5984211795b95b3f9138fc33af564e397f8984290fcd0c863a35e74</t>
        </is>
      </c>
      <c r="I31" s="165" t="inlineStr">
        <is>
          <t>VERIFIED</t>
        </is>
      </c>
      <c r="J31" s="166" t="inlineStr">
        <is>
          <t>https://service.tesla.com/docs/Model3/ElectricalReference/prog-333/interactive/json/connector_reference_export.json</t>
        </is>
      </c>
    </row>
    <row r="32">
      <c r="A32" s="15" t="n">
        <v>31</v>
      </c>
      <c r="B32" s="165" t="inlineStr">
        <is>
          <t>X060</t>
        </is>
      </c>
      <c r="C32" s="165" t="inlineStr">
        <is>
          <t>connector metadata extracted from connector reference</t>
        </is>
      </c>
      <c r="D32" s="165" t="inlineStr">
        <is>
          <t>connectors/X060/metadata.json</t>
        </is>
      </c>
      <c r="E32" s="165" t="inlineStr">
        <is>
          <t>application/json</t>
        </is>
      </c>
      <c r="F32" s="165" t="n">
        <v>840</v>
      </c>
      <c r="G32" s="165" t="inlineStr">
        <is>
          <t>generated</t>
        </is>
      </c>
      <c r="H32" s="165" t="inlineStr">
        <is>
          <t>db3b620ec645ec04171ed1ee0703acea12bb4440a21269fd17eba5b97388ef00</t>
        </is>
      </c>
      <c r="I32" s="165" t="inlineStr">
        <is>
          <t>VERIFIED</t>
        </is>
      </c>
      <c r="J32" s="166" t="inlineStr">
        <is>
          <t>https://service.tesla.com/docs/Model3/ElectricalReference/prog-333/interactive/json/connector_reference_export.json</t>
        </is>
      </c>
    </row>
    <row r="33">
      <c r="A33" s="15" t="n">
        <v>32</v>
      </c>
      <c r="B33" s="165" t="inlineStr">
        <is>
          <t>X120</t>
        </is>
      </c>
      <c r="C33" s="165" t="inlineStr">
        <is>
          <t>connector metadata extracted from connector reference</t>
        </is>
      </c>
      <c r="D33" s="165" t="inlineStr">
        <is>
          <t>connectors/X120/metadata.json</t>
        </is>
      </c>
      <c r="E33" s="165" t="inlineStr">
        <is>
          <t>application/json</t>
        </is>
      </c>
      <c r="F33" s="165" t="n">
        <v>2160</v>
      </c>
      <c r="G33" s="165" t="inlineStr">
        <is>
          <t>generated</t>
        </is>
      </c>
      <c r="H33" s="165" t="inlineStr">
        <is>
          <t>1c8f2d1a5ed65610270dab01f2344326b884dd6e412b7793d97ea13563d4a9f7</t>
        </is>
      </c>
      <c r="I33" s="165" t="inlineStr">
        <is>
          <t>VERIFIED</t>
        </is>
      </c>
      <c r="J33" s="166" t="inlineStr">
        <is>
          <t>https://service.tesla.com/docs/Model3/ElectricalReference/prog-333/interactive/json/connector_reference_export.json</t>
        </is>
      </c>
    </row>
    <row r="34">
      <c r="A34" s="15" t="n">
        <v>33</v>
      </c>
      <c r="B34" s="165" t="inlineStr">
        <is>
          <t>X120A</t>
        </is>
      </c>
      <c r="C34" s="165" t="inlineStr">
        <is>
          <t>connector metadata extracted from connector reference</t>
        </is>
      </c>
      <c r="D34" s="165" t="inlineStr">
        <is>
          <t>connectors/X120A/metadata.json</t>
        </is>
      </c>
      <c r="E34" s="165" t="inlineStr">
        <is>
          <t>application/json</t>
        </is>
      </c>
      <c r="F34" s="165" t="n">
        <v>2163</v>
      </c>
      <c r="G34" s="165" t="inlineStr">
        <is>
          <t>generated</t>
        </is>
      </c>
      <c r="H34" s="165" t="inlineStr">
        <is>
          <t>2de35db68bb0f26b872e597784ba786691e853e25b8713b668230e8a219d5a73</t>
        </is>
      </c>
      <c r="I34" s="165" t="inlineStr">
        <is>
          <t>VERIFIED</t>
        </is>
      </c>
      <c r="J34" s="166" t="inlineStr">
        <is>
          <t>https://service.tesla.com/docs/Model3/ElectricalReference/prog-333/interactive/json/connector_reference_export.json</t>
        </is>
      </c>
    </row>
    <row r="35">
      <c r="A35" s="15" t="n">
        <v>34</v>
      </c>
      <c r="B35" s="165" t="inlineStr">
        <is>
          <t>X155A</t>
        </is>
      </c>
      <c r="C35" s="165" t="inlineStr">
        <is>
          <t>connector metadata extracted from connector reference</t>
        </is>
      </c>
      <c r="D35" s="165" t="inlineStr">
        <is>
          <t>connectors/X155A/metadata.json</t>
        </is>
      </c>
      <c r="E35" s="165" t="inlineStr">
        <is>
          <t>application/json</t>
        </is>
      </c>
      <c r="F35" s="165" t="n">
        <v>2594</v>
      </c>
      <c r="G35" s="165" t="inlineStr">
        <is>
          <t>generated</t>
        </is>
      </c>
      <c r="H35" s="165" t="inlineStr">
        <is>
          <t>e7e1d4bafe33563e9384c7a9647b4f654ee7495114d03820c907569cf730a7db</t>
        </is>
      </c>
      <c r="I35" s="165" t="inlineStr">
        <is>
          <t>VERIFIED</t>
        </is>
      </c>
      <c r="J35" s="166" t="inlineStr">
        <is>
          <t>https://service.tesla.com/docs/Model3/ElectricalReference/prog-333/interactive/json/connector_reference_export.json</t>
        </is>
      </c>
    </row>
    <row r="36">
      <c r="A36" s="15" t="n">
        <v>35</v>
      </c>
      <c r="B36" s="165" t="inlineStr">
        <is>
          <t>X171</t>
        </is>
      </c>
      <c r="C36" s="165" t="inlineStr">
        <is>
          <t>connector metadata extracted from connector reference</t>
        </is>
      </c>
      <c r="D36" s="165" t="inlineStr">
        <is>
          <t>connectors/X171/metadata.json</t>
        </is>
      </c>
      <c r="E36" s="165" t="inlineStr">
        <is>
          <t>application/json</t>
        </is>
      </c>
      <c r="F36" s="165" t="n">
        <v>3429</v>
      </c>
      <c r="G36" s="165" t="inlineStr">
        <is>
          <t>generated</t>
        </is>
      </c>
      <c r="H36" s="165" t="inlineStr">
        <is>
          <t>c8223af18d584ed66838fec6e873f73c6d976ed3fee420bb141166caf9cc999b</t>
        </is>
      </c>
      <c r="I36" s="165" t="inlineStr">
        <is>
          <t>VERIFIED</t>
        </is>
      </c>
      <c r="J36" s="166" t="inlineStr">
        <is>
          <t>https://service.tesla.com/docs/Model3/ElectricalReference/prog-333/interactive/json/connector_reference_export.json</t>
        </is>
      </c>
    </row>
    <row r="37">
      <c r="A37" s="15" t="n">
        <v>36</v>
      </c>
      <c r="B37" s="165" t="inlineStr">
        <is>
          <t>X171A</t>
        </is>
      </c>
      <c r="C37" s="165" t="inlineStr">
        <is>
          <t>connector metadata extracted from connector reference</t>
        </is>
      </c>
      <c r="D37" s="165" t="inlineStr">
        <is>
          <t>connectors/X171A/metadata.json</t>
        </is>
      </c>
      <c r="E37" s="165" t="inlineStr">
        <is>
          <t>application/json</t>
        </is>
      </c>
      <c r="F37" s="165" t="n">
        <v>3443</v>
      </c>
      <c r="G37" s="165" t="inlineStr">
        <is>
          <t>generated</t>
        </is>
      </c>
      <c r="H37" s="165" t="inlineStr">
        <is>
          <t>a9ef17769dbdadbebe8ac9626793150ec399961e5a8141dfbdd5058ff70bce4f</t>
        </is>
      </c>
      <c r="I37" s="165" t="inlineStr">
        <is>
          <t>VERIFIED</t>
        </is>
      </c>
      <c r="J37" s="166" t="inlineStr">
        <is>
          <t>https://service.tesla.com/docs/Model3/ElectricalReference/prog-333/interactive/json/connector_reference_export.json</t>
        </is>
      </c>
    </row>
    <row r="38">
      <c r="A38" s="15" t="n">
        <v>37</v>
      </c>
      <c r="B38" s="165" t="inlineStr">
        <is>
          <t>X175</t>
        </is>
      </c>
      <c r="C38" s="165" t="inlineStr">
        <is>
          <t>connector metadata extracted from connector reference</t>
        </is>
      </c>
      <c r="D38" s="165" t="inlineStr">
        <is>
          <t>connectors/X175/metadata.json</t>
        </is>
      </c>
      <c r="E38" s="165" t="inlineStr">
        <is>
          <t>application/json</t>
        </is>
      </c>
      <c r="F38" s="165" t="n">
        <v>3971</v>
      </c>
      <c r="G38" s="165" t="inlineStr">
        <is>
          <t>generated</t>
        </is>
      </c>
      <c r="H38" s="165" t="inlineStr">
        <is>
          <t>ad2058dfec05c0cee920b66f6e54f23f79aa0fc8c66f3735a5cbaf265f463e7c</t>
        </is>
      </c>
      <c r="I38" s="165" t="inlineStr">
        <is>
          <t>VERIFIED</t>
        </is>
      </c>
      <c r="J38" s="166" t="inlineStr">
        <is>
          <t>https://service.tesla.com/docs/Model3/ElectricalReference/prog-333/interactive/json/connector_reference_export.json</t>
        </is>
      </c>
    </row>
    <row r="39">
      <c r="A39" s="15" t="n">
        <v>38</v>
      </c>
      <c r="B39" s="165" t="inlineStr">
        <is>
          <t>X175A</t>
        </is>
      </c>
      <c r="C39" s="165" t="inlineStr">
        <is>
          <t>connector metadata extracted from connector reference</t>
        </is>
      </c>
      <c r="D39" s="165" t="inlineStr">
        <is>
          <t>connectors/X175A/metadata.json</t>
        </is>
      </c>
      <c r="E39" s="165" t="inlineStr">
        <is>
          <t>application/json</t>
        </is>
      </c>
      <c r="F39" s="165" t="n">
        <v>3972</v>
      </c>
      <c r="G39" s="165" t="inlineStr">
        <is>
          <t>generated</t>
        </is>
      </c>
      <c r="H39" s="165" t="inlineStr">
        <is>
          <t>e3e8da54609cf5693070c9edfeeecf4c23552089474ebaea4e2cf02437f12d1f</t>
        </is>
      </c>
      <c r="I39" s="165" t="inlineStr">
        <is>
          <t>VERIFIED</t>
        </is>
      </c>
      <c r="J39" s="166" t="inlineStr">
        <is>
          <t>https://service.tesla.com/docs/Model3/ElectricalReference/prog-333/interactive/json/connector_reference_export.json</t>
        </is>
      </c>
    </row>
    <row r="40">
      <c r="A40" s="15" t="n">
        <v>39</v>
      </c>
      <c r="B40" s="165" t="inlineStr">
        <is>
          <t>X274</t>
        </is>
      </c>
      <c r="C40" s="165" t="inlineStr">
        <is>
          <t>connector metadata extracted from connector reference</t>
        </is>
      </c>
      <c r="D40" s="165" t="inlineStr">
        <is>
          <t>connectors/X274/metadata.json</t>
        </is>
      </c>
      <c r="E40" s="165" t="inlineStr">
        <is>
          <t>application/json</t>
        </is>
      </c>
      <c r="F40" s="165" t="n">
        <v>738</v>
      </c>
      <c r="G40" s="165" t="inlineStr">
        <is>
          <t>generated</t>
        </is>
      </c>
      <c r="H40" s="165" t="inlineStr">
        <is>
          <t>82f042ee5a36a0eb3cbee37acee2a4d285b76ab89895d377fc82f41ef4f39f25</t>
        </is>
      </c>
      <c r="I40" s="165" t="inlineStr">
        <is>
          <t>VERIFIED</t>
        </is>
      </c>
      <c r="J40" s="166" t="inlineStr">
        <is>
          <t>https://service.tesla.com/docs/Model3/ElectricalReference/prog-333/interactive/json/connector_reference_export.json</t>
        </is>
      </c>
    </row>
    <row r="41">
      <c r="A41" s="15" t="n">
        <v>40</v>
      </c>
      <c r="B41" s="165" t="inlineStr">
        <is>
          <t>X286</t>
        </is>
      </c>
      <c r="C41" s="165" t="inlineStr">
        <is>
          <t>connector metadata extracted from connector reference</t>
        </is>
      </c>
      <c r="D41" s="165" t="inlineStr">
        <is>
          <t>connectors/X286/metadata.json</t>
        </is>
      </c>
      <c r="E41" s="165" t="inlineStr">
        <is>
          <t>application/json</t>
        </is>
      </c>
      <c r="F41" s="165" t="n">
        <v>1199</v>
      </c>
      <c r="G41" s="165" t="inlineStr">
        <is>
          <t>generated</t>
        </is>
      </c>
      <c r="H41" s="165" t="inlineStr">
        <is>
          <t>ad882ebd0907f82d9036cd7f276160d62d1a257282c59a8d1419e61b81575ca1</t>
        </is>
      </c>
      <c r="I41" s="165" t="inlineStr">
        <is>
          <t>VERIFIED</t>
        </is>
      </c>
      <c r="J41" s="166" t="inlineStr">
        <is>
          <t>https://service.tesla.com/docs/Model3/ElectricalReference/prog-333/interactive/json/connector_reference_export.json</t>
        </is>
      </c>
    </row>
    <row r="42">
      <c r="A42" s="15" t="n">
        <v>41</v>
      </c>
      <c r="B42" s="165" t="inlineStr">
        <is>
          <t>X287</t>
        </is>
      </c>
      <c r="C42" s="165" t="inlineStr">
        <is>
          <t>connector metadata extracted from connector reference</t>
        </is>
      </c>
      <c r="D42" s="165" t="inlineStr">
        <is>
          <t>connectors/X287/metadata.json</t>
        </is>
      </c>
      <c r="E42" s="165" t="inlineStr">
        <is>
          <t>application/json</t>
        </is>
      </c>
      <c r="F42" s="165" t="n">
        <v>1199</v>
      </c>
      <c r="G42" s="165" t="inlineStr">
        <is>
          <t>generated</t>
        </is>
      </c>
      <c r="H42" s="165" t="inlineStr">
        <is>
          <t>f394cdd084a8e7d40836858ece8c3ad5013e70392e68de88202b821d0a27dfe3</t>
        </is>
      </c>
      <c r="I42" s="165" t="inlineStr">
        <is>
          <t>VERIFIED</t>
        </is>
      </c>
      <c r="J42" s="166" t="inlineStr">
        <is>
          <t>https://service.tesla.com/docs/Model3/ElectricalReference/prog-333/interactive/json/connector_reference_export.json</t>
        </is>
      </c>
    </row>
    <row r="43">
      <c r="A43" s="15" t="n">
        <v>42</v>
      </c>
      <c r="B43" s="165" t="inlineStr">
        <is>
          <t>X289</t>
        </is>
      </c>
      <c r="C43" s="165" t="inlineStr">
        <is>
          <t>connector metadata extracted from connector reference</t>
        </is>
      </c>
      <c r="D43" s="165" t="inlineStr">
        <is>
          <t>connectors/X289/metadata.json</t>
        </is>
      </c>
      <c r="E43" s="165" t="inlineStr">
        <is>
          <t>application/json</t>
        </is>
      </c>
      <c r="F43" s="165" t="n">
        <v>902</v>
      </c>
      <c r="G43" s="165" t="inlineStr">
        <is>
          <t>generated</t>
        </is>
      </c>
      <c r="H43" s="165" t="inlineStr">
        <is>
          <t>8b71fc45b748181a10e8854958660b7bfd7dfa15153d4af6d5a606c7e10244b3</t>
        </is>
      </c>
      <c r="I43" s="165" t="inlineStr">
        <is>
          <t>VERIFIED</t>
        </is>
      </c>
      <c r="J43" s="166" t="inlineStr">
        <is>
          <t>https://service.tesla.com/docs/Model3/ElectricalReference/prog-333/interactive/json/connector_reference_export.json</t>
        </is>
      </c>
    </row>
    <row r="44">
      <c r="A44" s="15" t="n">
        <v>43</v>
      </c>
      <c r="B44" s="165" t="inlineStr">
        <is>
          <t>X290</t>
        </is>
      </c>
      <c r="C44" s="165" t="inlineStr">
        <is>
          <t>connector metadata extracted from connector reference</t>
        </is>
      </c>
      <c r="D44" s="165" t="inlineStr">
        <is>
          <t>connectors/X290/metadata.json</t>
        </is>
      </c>
      <c r="E44" s="165" t="inlineStr">
        <is>
          <t>application/json</t>
        </is>
      </c>
      <c r="F44" s="165" t="n">
        <v>905</v>
      </c>
      <c r="G44" s="165" t="inlineStr">
        <is>
          <t>generated</t>
        </is>
      </c>
      <c r="H44" s="165" t="inlineStr">
        <is>
          <t>12bae92f533130578382545ce0cf3ce0d70a16365622e77e5c743cbbba42ae40</t>
        </is>
      </c>
      <c r="I44" s="165" t="inlineStr">
        <is>
          <t>VERIFIED</t>
        </is>
      </c>
      <c r="J44" s="166" t="inlineStr">
        <is>
          <t>https://service.tesla.com/docs/Model3/ElectricalReference/prog-333/interactive/json/connector_reference_export.json</t>
        </is>
      </c>
    </row>
    <row r="45">
      <c r="A45" s="15" t="n">
        <v>44</v>
      </c>
      <c r="B45" s="165" t="inlineStr">
        <is>
          <t>X299</t>
        </is>
      </c>
      <c r="C45" s="165" t="inlineStr">
        <is>
          <t>connector metadata extracted from connector reference</t>
        </is>
      </c>
      <c r="D45" s="165" t="inlineStr">
        <is>
          <t>connectors/X299/metadata.json</t>
        </is>
      </c>
      <c r="E45" s="165" t="inlineStr">
        <is>
          <t>application/json</t>
        </is>
      </c>
      <c r="F45" s="165" t="n">
        <v>4383</v>
      </c>
      <c r="G45" s="165" t="inlineStr">
        <is>
          <t>generated</t>
        </is>
      </c>
      <c r="H45" s="165" t="inlineStr">
        <is>
          <t>46bddd05c504e87245605560cb4546fa02dad7a38a2da10bca42a7db86515088</t>
        </is>
      </c>
      <c r="I45" s="165" t="inlineStr">
        <is>
          <t>VERIFIED</t>
        </is>
      </c>
      <c r="J45" s="166" t="inlineStr">
        <is>
          <t>https://service.tesla.com/docs/Model3/ElectricalReference/prog-333/interactive/json/connector_reference_export.json</t>
        </is>
      </c>
    </row>
    <row r="46">
      <c r="A46" s="15" t="n">
        <v>45</v>
      </c>
      <c r="B46" s="165" t="inlineStr">
        <is>
          <t>X560</t>
        </is>
      </c>
      <c r="C46" s="165" t="inlineStr">
        <is>
          <t>connector metadata extracted from connector reference</t>
        </is>
      </c>
      <c r="D46" s="165" t="inlineStr">
        <is>
          <t>connectors/X560/metadata.json</t>
        </is>
      </c>
      <c r="E46" s="165" t="inlineStr">
        <is>
          <t>application/json</t>
        </is>
      </c>
      <c r="F46" s="165" t="n">
        <v>3430</v>
      </c>
      <c r="G46" s="165" t="inlineStr">
        <is>
          <t>generated</t>
        </is>
      </c>
      <c r="H46" s="165" t="inlineStr">
        <is>
          <t>f8df86458101778901bc440bcccf53d5bc6984a22f1add64d073f5b2bdd93901</t>
        </is>
      </c>
      <c r="I46" s="165" t="inlineStr">
        <is>
          <t>VERIFIED</t>
        </is>
      </c>
      <c r="J46" s="166" t="inlineStr">
        <is>
          <t>https://service.tesla.com/docs/Model3/ElectricalReference/prog-333/interactive/json/connector_reference_export.json</t>
        </is>
      </c>
    </row>
    <row r="47">
      <c r="A47" s="15" t="n">
        <v>46</v>
      </c>
      <c r="B47" s="165" t="inlineStr">
        <is>
          <t>X561</t>
        </is>
      </c>
      <c r="C47" s="165" t="inlineStr">
        <is>
          <t>connector metadata extracted from connector reference</t>
        </is>
      </c>
      <c r="D47" s="165" t="inlineStr">
        <is>
          <t>connectors/X561/metadata.json</t>
        </is>
      </c>
      <c r="E47" s="165" t="inlineStr">
        <is>
          <t>application/json</t>
        </is>
      </c>
      <c r="F47" s="165" t="n">
        <v>3108</v>
      </c>
      <c r="G47" s="165" t="inlineStr">
        <is>
          <t>generated</t>
        </is>
      </c>
      <c r="H47" s="165" t="inlineStr">
        <is>
          <t>2b7a10274a25c1c6ba2c0cb4ab12dd4a419b00f0971abcf1bc5fdd082274a76a</t>
        </is>
      </c>
      <c r="I47" s="165" t="inlineStr">
        <is>
          <t>VERIFIED</t>
        </is>
      </c>
      <c r="J47" s="166" t="inlineStr">
        <is>
          <t>https://service.tesla.com/docs/Model3/ElectricalReference/prog-333/interactive/json/connector_reference_export.json</t>
        </is>
      </c>
    </row>
    <row r="48">
      <c r="A48" s="15" t="n">
        <v>47</v>
      </c>
      <c r="B48" s="165" t="inlineStr">
        <is>
          <t>X562</t>
        </is>
      </c>
      <c r="C48" s="165" t="inlineStr">
        <is>
          <t>connector metadata extracted from connector reference</t>
        </is>
      </c>
      <c r="D48" s="165" t="inlineStr">
        <is>
          <t>connectors/X562/metadata.json</t>
        </is>
      </c>
      <c r="E48" s="165" t="inlineStr">
        <is>
          <t>application/json</t>
        </is>
      </c>
      <c r="F48" s="165" t="n">
        <v>1300</v>
      </c>
      <c r="G48" s="165" t="inlineStr">
        <is>
          <t>generated</t>
        </is>
      </c>
      <c r="H48" s="165" t="inlineStr">
        <is>
          <t>5140dd16d06b0a9a2c4f5f611c5b16c7fe6964fe9d709d762fd911c88052ae42</t>
        </is>
      </c>
      <c r="I48" s="165" t="inlineStr">
        <is>
          <t>VERIFIED</t>
        </is>
      </c>
      <c r="J48" s="166" t="inlineStr">
        <is>
          <t>https://service.tesla.com/docs/Model3/ElectricalReference/prog-333/interactive/json/connector_reference_export.json</t>
        </is>
      </c>
    </row>
    <row r="49">
      <c r="A49" s="15" t="n">
        <v>48</v>
      </c>
      <c r="B49" s="165" t="inlineStr">
        <is>
          <t>X563</t>
        </is>
      </c>
      <c r="C49" s="165" t="inlineStr">
        <is>
          <t>connector metadata extracted from connector reference</t>
        </is>
      </c>
      <c r="D49" s="165" t="inlineStr">
        <is>
          <t>connectors/X563/metadata.json</t>
        </is>
      </c>
      <c r="E49" s="165" t="inlineStr">
        <is>
          <t>application/json</t>
        </is>
      </c>
      <c r="F49" s="165" t="n">
        <v>763</v>
      </c>
      <c r="G49" s="165" t="inlineStr">
        <is>
          <t>generated</t>
        </is>
      </c>
      <c r="H49" s="165" t="inlineStr">
        <is>
          <t>dc4987b02c10bbf2c5bbcf0cbd651873a1390fa798c18b0dea59c4329e1d0d6c</t>
        </is>
      </c>
      <c r="I49" s="165" t="inlineStr">
        <is>
          <t>VERIFIED</t>
        </is>
      </c>
      <c r="J49" s="166" t="inlineStr">
        <is>
          <t>https://service.tesla.com/docs/Model3/ElectricalReference/prog-333/interactive/json/connector_reference_export.json</t>
        </is>
      </c>
    </row>
    <row r="50">
      <c r="A50" s="15" t="n">
        <v>49</v>
      </c>
      <c r="B50" s="165" t="inlineStr">
        <is>
          <t>X565</t>
        </is>
      </c>
      <c r="C50" s="165" t="inlineStr">
        <is>
          <t>connector metadata extracted from connector reference</t>
        </is>
      </c>
      <c r="D50" s="165" t="inlineStr">
        <is>
          <t>connectors/X565/metadata.json</t>
        </is>
      </c>
      <c r="E50" s="165" t="inlineStr">
        <is>
          <t>application/json</t>
        </is>
      </c>
      <c r="F50" s="165" t="n">
        <v>792</v>
      </c>
      <c r="G50" s="165" t="inlineStr">
        <is>
          <t>generated</t>
        </is>
      </c>
      <c r="H50" s="165" t="inlineStr">
        <is>
          <t>97cc00548f8946ac119c8f5ed602ff09de1d4e6134198a177e5ae3d9be890fd7</t>
        </is>
      </c>
      <c r="I50" s="165" t="inlineStr">
        <is>
          <t>VERIFIED</t>
        </is>
      </c>
      <c r="J50" s="166" t="inlineStr">
        <is>
          <t>https://service.tesla.com/docs/Model3/ElectricalReference/prog-333/interactive/json/connector_reference_export.json</t>
        </is>
      </c>
    </row>
    <row r="51">
      <c r="A51" s="15" t="n">
        <v>50</v>
      </c>
      <c r="B51" s="165" t="inlineStr">
        <is>
          <t>X566</t>
        </is>
      </c>
      <c r="C51" s="165" t="inlineStr">
        <is>
          <t>connector metadata extracted from connector reference</t>
        </is>
      </c>
      <c r="D51" s="165" t="inlineStr">
        <is>
          <t>connectors/X566/metadata.json</t>
        </is>
      </c>
      <c r="E51" s="165" t="inlineStr">
        <is>
          <t>application/json</t>
        </is>
      </c>
      <c r="F51" s="165" t="n">
        <v>875</v>
      </c>
      <c r="G51" s="165" t="inlineStr">
        <is>
          <t>generated</t>
        </is>
      </c>
      <c r="H51" s="165" t="inlineStr">
        <is>
          <t>a7ae03c149ba0221d71c9376fbf3380312f7963f0305055eda9c46e04f1f0120</t>
        </is>
      </c>
      <c r="I51" s="165" t="inlineStr">
        <is>
          <t>VERIFIED</t>
        </is>
      </c>
      <c r="J51" s="166" t="inlineStr">
        <is>
          <t>https://service.tesla.com/docs/Model3/ElectricalReference/prog-333/interactive/json/connector_reference_export.json</t>
        </is>
      </c>
    </row>
    <row r="52">
      <c r="A52" s="15" t="n">
        <v>51</v>
      </c>
      <c r="B52" s="165" t="inlineStr">
        <is>
          <t>X567</t>
        </is>
      </c>
      <c r="C52" s="165" t="inlineStr">
        <is>
          <t>connector metadata extracted from connector reference</t>
        </is>
      </c>
      <c r="D52" s="165" t="inlineStr">
        <is>
          <t>connectors/X567/metadata.json</t>
        </is>
      </c>
      <c r="E52" s="165" t="inlineStr">
        <is>
          <t>application/json</t>
        </is>
      </c>
      <c r="F52" s="165" t="n">
        <v>920</v>
      </c>
      <c r="G52" s="165" t="inlineStr">
        <is>
          <t>generated</t>
        </is>
      </c>
      <c r="H52" s="165" t="inlineStr">
        <is>
          <t>a8d61e0de7c01cee2e20bf61362f9b0174d6fa29e78f5d402a5ab76d72c0e4e4</t>
        </is>
      </c>
      <c r="I52" s="165" t="inlineStr">
        <is>
          <t>VERIFIED</t>
        </is>
      </c>
      <c r="J52" s="166" t="inlineStr">
        <is>
          <t>https://service.tesla.com/docs/Model3/ElectricalReference/prog-333/interactive/json/connector_reference_export.json</t>
        </is>
      </c>
    </row>
    <row r="53">
      <c r="A53" s="15" t="n">
        <v>52</v>
      </c>
      <c r="B53" s="165" t="inlineStr">
        <is>
          <t>X568</t>
        </is>
      </c>
      <c r="C53" s="165" t="inlineStr">
        <is>
          <t>connector metadata extracted from connector reference</t>
        </is>
      </c>
      <c r="D53" s="165" t="inlineStr">
        <is>
          <t>connectors/X568/metadata.json</t>
        </is>
      </c>
      <c r="E53" s="165" t="inlineStr">
        <is>
          <t>application/json</t>
        </is>
      </c>
      <c r="F53" s="165" t="n">
        <v>913</v>
      </c>
      <c r="G53" s="165" t="inlineStr">
        <is>
          <t>generated</t>
        </is>
      </c>
      <c r="H53" s="165" t="inlineStr">
        <is>
          <t>4a791d7f763f16d20997f330084c54508951d37c9acf641910d20fc971f71d72</t>
        </is>
      </c>
      <c r="I53" s="165" t="inlineStr">
        <is>
          <t>VERIFIED</t>
        </is>
      </c>
      <c r="J53" s="166" t="inlineStr">
        <is>
          <t>https://service.tesla.com/docs/Model3/ElectricalReference/prog-333/interactive/json/connector_reference_export.json</t>
        </is>
      </c>
    </row>
    <row r="54">
      <c r="A54" s="15" t="n">
        <v>53</v>
      </c>
      <c r="B54" s="165" t="inlineStr">
        <is>
          <t>X569</t>
        </is>
      </c>
      <c r="C54" s="165" t="inlineStr">
        <is>
          <t>connector metadata extracted from connector reference</t>
        </is>
      </c>
      <c r="D54" s="165" t="inlineStr">
        <is>
          <t>connectors/X569/metadata.json</t>
        </is>
      </c>
      <c r="E54" s="165" t="inlineStr">
        <is>
          <t>application/json</t>
        </is>
      </c>
      <c r="F54" s="165" t="n">
        <v>848</v>
      </c>
      <c r="G54" s="165" t="inlineStr">
        <is>
          <t>generated</t>
        </is>
      </c>
      <c r="H54" s="165" t="inlineStr">
        <is>
          <t>e8ef7c49eab50026e9a00f853fb4207188968880c05f431f90373df7c7c92075</t>
        </is>
      </c>
      <c r="I54" s="165" t="inlineStr">
        <is>
          <t>VERIFIED</t>
        </is>
      </c>
      <c r="J54" s="166" t="inlineStr">
        <is>
          <t>https://service.tesla.com/docs/Model3/ElectricalReference/prog-333/interactive/json/connector_reference_export.json</t>
        </is>
      </c>
    </row>
    <row r="55">
      <c r="A55" s="15" t="n">
        <v>54</v>
      </c>
      <c r="B55" s="165" t="inlineStr">
        <is>
          <t>X570</t>
        </is>
      </c>
      <c r="C55" s="165" t="inlineStr">
        <is>
          <t>connector metadata extracted from connector reference</t>
        </is>
      </c>
      <c r="D55" s="165" t="inlineStr">
        <is>
          <t>connectors/X570/metadata.json</t>
        </is>
      </c>
      <c r="E55" s="165" t="inlineStr">
        <is>
          <t>application/json</t>
        </is>
      </c>
      <c r="F55" s="165" t="n">
        <v>777</v>
      </c>
      <c r="G55" s="165" t="inlineStr">
        <is>
          <t>generated</t>
        </is>
      </c>
      <c r="H55" s="165" t="inlineStr">
        <is>
          <t>9ca5ef51fc746b9ac2d21384f8f76d730b435507278e415d45a3c8a293553aeb</t>
        </is>
      </c>
      <c r="I55" s="165" t="inlineStr">
        <is>
          <t>VERIFIED</t>
        </is>
      </c>
      <c r="J55" s="166" t="inlineStr">
        <is>
          <t>https://service.tesla.com/docs/Model3/ElectricalReference/prog-333/interactive/json/connector_reference_export.json</t>
        </is>
      </c>
    </row>
    <row r="56">
      <c r="A56" s="15" t="n">
        <v>55</v>
      </c>
      <c r="B56" s="165" t="inlineStr">
        <is>
          <t>X575</t>
        </is>
      </c>
      <c r="C56" s="165" t="inlineStr">
        <is>
          <t>connector metadata extracted from connector reference</t>
        </is>
      </c>
      <c r="D56" s="165" t="inlineStr">
        <is>
          <t>connectors/X575/metadata.json</t>
        </is>
      </c>
      <c r="E56" s="165" t="inlineStr">
        <is>
          <t>application/json</t>
        </is>
      </c>
      <c r="F56" s="165" t="n">
        <v>793</v>
      </c>
      <c r="G56" s="165" t="inlineStr">
        <is>
          <t>generated</t>
        </is>
      </c>
      <c r="H56" s="165" t="inlineStr">
        <is>
          <t>ecc42172720aeddb2c4fe671b9adfd16ef57180d4b5e855e7428853ccf5d781c</t>
        </is>
      </c>
      <c r="I56" s="165" t="inlineStr">
        <is>
          <t>VERIFIED</t>
        </is>
      </c>
      <c r="J56" s="166" t="inlineStr">
        <is>
          <t>https://service.tesla.com/docs/Model3/ElectricalReference/prog-333/interactive/json/connector_reference_export.json</t>
        </is>
      </c>
    </row>
    <row r="57">
      <c r="A57" s="15" t="n">
        <v>56</v>
      </c>
      <c r="B57" s="165" t="inlineStr">
        <is>
          <t>X576</t>
        </is>
      </c>
      <c r="C57" s="165" t="inlineStr">
        <is>
          <t>connector metadata extracted from connector reference</t>
        </is>
      </c>
      <c r="D57" s="165" t="inlineStr">
        <is>
          <t>connectors/X576/metadata.json</t>
        </is>
      </c>
      <c r="E57" s="165" t="inlineStr">
        <is>
          <t>application/json</t>
        </is>
      </c>
      <c r="F57" s="165" t="n">
        <v>878</v>
      </c>
      <c r="G57" s="165" t="inlineStr">
        <is>
          <t>generated</t>
        </is>
      </c>
      <c r="H57" s="165" t="inlineStr">
        <is>
          <t>e693b498e7afe65f6bf6d2987cdbbc302b81b0588760c8962d0abd4e68806fda</t>
        </is>
      </c>
      <c r="I57" s="165" t="inlineStr">
        <is>
          <t>VERIFIED</t>
        </is>
      </c>
      <c r="J57" s="166" t="inlineStr">
        <is>
          <t>https://service.tesla.com/docs/Model3/ElectricalReference/prog-333/interactive/json/connector_reference_export.json</t>
        </is>
      </c>
    </row>
    <row r="58">
      <c r="A58" s="15" t="n">
        <v>57</v>
      </c>
      <c r="B58" s="165" t="inlineStr">
        <is>
          <t>X577</t>
        </is>
      </c>
      <c r="C58" s="165" t="inlineStr">
        <is>
          <t>connector metadata extracted from connector reference</t>
        </is>
      </c>
      <c r="D58" s="165" t="inlineStr">
        <is>
          <t>connectors/X577/metadata.json</t>
        </is>
      </c>
      <c r="E58" s="165" t="inlineStr">
        <is>
          <t>application/json</t>
        </is>
      </c>
      <c r="F58" s="165" t="n">
        <v>973</v>
      </c>
      <c r="G58" s="165" t="inlineStr">
        <is>
          <t>generated</t>
        </is>
      </c>
      <c r="H58" s="165" t="inlineStr">
        <is>
          <t>a857045cd2c020057f77aa2482d7387c99736d263f42204704c31a998cf710fe</t>
        </is>
      </c>
      <c r="I58" s="165" t="inlineStr">
        <is>
          <t>VERIFIED</t>
        </is>
      </c>
      <c r="J58" s="166" t="inlineStr">
        <is>
          <t>https://service.tesla.com/docs/Model3/ElectricalReference/prog-333/interactive/json/connector_reference_export.json</t>
        </is>
      </c>
    </row>
    <row r="59">
      <c r="A59" s="15" t="n">
        <v>58</v>
      </c>
      <c r="B59" s="165" t="inlineStr">
        <is>
          <t>X578</t>
        </is>
      </c>
      <c r="C59" s="165" t="inlineStr">
        <is>
          <t>connector metadata extracted from connector reference</t>
        </is>
      </c>
      <c r="D59" s="165" t="inlineStr">
        <is>
          <t>connectors/X578/metadata.json</t>
        </is>
      </c>
      <c r="E59" s="165" t="inlineStr">
        <is>
          <t>application/json</t>
        </is>
      </c>
      <c r="F59" s="165" t="n">
        <v>966</v>
      </c>
      <c r="G59" s="165" t="inlineStr">
        <is>
          <t>generated</t>
        </is>
      </c>
      <c r="H59" s="165" t="inlineStr">
        <is>
          <t>a0a9d7279610c78928616ee24905da78af9906c0842b1f5195e670bd87d73a8e</t>
        </is>
      </c>
      <c r="I59" s="165" t="inlineStr">
        <is>
          <t>VERIFIED</t>
        </is>
      </c>
      <c r="J59" s="166" t="inlineStr">
        <is>
          <t>https://service.tesla.com/docs/Model3/ElectricalReference/prog-333/interactive/json/connector_reference_export.json</t>
        </is>
      </c>
    </row>
    <row r="60">
      <c r="A60" s="15" t="n">
        <v>59</v>
      </c>
      <c r="B60" s="165" t="inlineStr">
        <is>
          <t>X579</t>
        </is>
      </c>
      <c r="C60" s="165" t="inlineStr">
        <is>
          <t>connector metadata extracted from connector reference</t>
        </is>
      </c>
      <c r="D60" s="165" t="inlineStr">
        <is>
          <t>connectors/X579/metadata.json</t>
        </is>
      </c>
      <c r="E60" s="165" t="inlineStr">
        <is>
          <t>application/json</t>
        </is>
      </c>
      <c r="F60" s="165" t="n">
        <v>851</v>
      </c>
      <c r="G60" s="165" t="inlineStr">
        <is>
          <t>generated</t>
        </is>
      </c>
      <c r="H60" s="165" t="inlineStr">
        <is>
          <t>0aa2c6533e71e1c365699c350a0e28239171d85018ae9efea9e8fc967b404cac</t>
        </is>
      </c>
      <c r="I60" s="165" t="inlineStr">
        <is>
          <t>VERIFIED</t>
        </is>
      </c>
      <c r="J60" s="166" t="inlineStr">
        <is>
          <t>https://service.tesla.com/docs/Model3/ElectricalReference/prog-333/interactive/json/connector_reference_export.json</t>
        </is>
      </c>
    </row>
    <row r="61">
      <c r="A61" s="15" t="n">
        <v>60</v>
      </c>
      <c r="B61" s="165" t="inlineStr">
        <is>
          <t>X580</t>
        </is>
      </c>
      <c r="C61" s="165" t="inlineStr">
        <is>
          <t>connector metadata extracted from connector reference</t>
        </is>
      </c>
      <c r="D61" s="165" t="inlineStr">
        <is>
          <t>connectors/X580/metadata.json</t>
        </is>
      </c>
      <c r="E61" s="165" t="inlineStr">
        <is>
          <t>application/json</t>
        </is>
      </c>
      <c r="F61" s="165" t="n">
        <v>778</v>
      </c>
      <c r="G61" s="165" t="inlineStr">
        <is>
          <t>generated</t>
        </is>
      </c>
      <c r="H61" s="165" t="inlineStr">
        <is>
          <t>157e5b345cbe15dd0e01730ba24fb33d0396781b1c7f594c93ae3292d8880803</t>
        </is>
      </c>
      <c r="I61" s="165" t="inlineStr">
        <is>
          <t>VERIFIED</t>
        </is>
      </c>
      <c r="J61" s="166" t="inlineStr">
        <is>
          <t>https://service.tesla.com/docs/Model3/ElectricalReference/prog-333/interactive/json/connector_reference_export.json</t>
        </is>
      </c>
    </row>
    <row r="62">
      <c r="A62" s="15" t="n">
        <v>61</v>
      </c>
      <c r="B62" s="165" t="inlineStr">
        <is>
          <t>X586</t>
        </is>
      </c>
      <c r="C62" s="165" t="inlineStr">
        <is>
          <t>connector metadata extracted from connector reference</t>
        </is>
      </c>
      <c r="D62" s="165" t="inlineStr">
        <is>
          <t>connectors/X586/metadata.json</t>
        </is>
      </c>
      <c r="E62" s="165" t="inlineStr">
        <is>
          <t>application/json</t>
        </is>
      </c>
      <c r="F62" s="165" t="n">
        <v>837</v>
      </c>
      <c r="G62" s="165" t="inlineStr">
        <is>
          <t>generated</t>
        </is>
      </c>
      <c r="H62" s="165" t="inlineStr">
        <is>
          <t>a60580c410cdac035b29eecff831adee344d7fe74a044d79de537d4ecb75332d</t>
        </is>
      </c>
      <c r="I62" s="165" t="inlineStr">
        <is>
          <t>VERIFIED</t>
        </is>
      </c>
      <c r="J62" s="166" t="inlineStr">
        <is>
          <t>https://service.tesla.com/docs/Model3/ElectricalReference/prog-333/interactive/json/connector_reference_export.json</t>
        </is>
      </c>
    </row>
    <row r="63">
      <c r="A63" s="15" t="n">
        <v>62</v>
      </c>
      <c r="B63" s="165" t="inlineStr">
        <is>
          <t>X588</t>
        </is>
      </c>
      <c r="C63" s="165" t="inlineStr">
        <is>
          <t>connector metadata extracted from connector reference</t>
        </is>
      </c>
      <c r="D63" s="165" t="inlineStr">
        <is>
          <t>connectors/X588/metadata.json</t>
        </is>
      </c>
      <c r="E63" s="165" t="inlineStr">
        <is>
          <t>application/json</t>
        </is>
      </c>
      <c r="F63" s="165" t="n">
        <v>771</v>
      </c>
      <c r="G63" s="165" t="inlineStr">
        <is>
          <t>generated</t>
        </is>
      </c>
      <c r="H63" s="165" t="inlineStr">
        <is>
          <t>83a59a9cb847993b407924fa87aae70b7c980f4e190077e9d2d9ce9fcc8fdce1</t>
        </is>
      </c>
      <c r="I63" s="165" t="inlineStr">
        <is>
          <t>VERIFIED</t>
        </is>
      </c>
      <c r="J63" s="166" t="inlineStr">
        <is>
          <t>https://service.tesla.com/docs/Model3/ElectricalReference/prog-333/interactive/json/connector_reference_export.json</t>
        </is>
      </c>
    </row>
    <row r="64">
      <c r="A64" s="15" t="n">
        <v>63</v>
      </c>
      <c r="B64" s="165" t="inlineStr">
        <is>
          <t>X591</t>
        </is>
      </c>
      <c r="C64" s="165" t="inlineStr">
        <is>
          <t>connector metadata extracted from connector reference</t>
        </is>
      </c>
      <c r="D64" s="165" t="inlineStr">
        <is>
          <t>connectors/X591/metadata.json</t>
        </is>
      </c>
      <c r="E64" s="165" t="inlineStr">
        <is>
          <t>application/json</t>
        </is>
      </c>
      <c r="F64" s="165" t="n">
        <v>838</v>
      </c>
      <c r="G64" s="165" t="inlineStr">
        <is>
          <t>generated</t>
        </is>
      </c>
      <c r="H64" s="165" t="inlineStr">
        <is>
          <t>486a80ff7daa183e7a11d49d06a0bbfdba35709b2c1a0ab30d97cf121a38bc1a</t>
        </is>
      </c>
      <c r="I64" s="165" t="inlineStr">
        <is>
          <t>VERIFIED</t>
        </is>
      </c>
      <c r="J64" s="166" t="inlineStr">
        <is>
          <t>https://service.tesla.com/docs/Model3/ElectricalReference/prog-333/interactive/json/connector_reference_export.json</t>
        </is>
      </c>
    </row>
    <row r="65">
      <c r="A65" s="15" t="n">
        <v>64</v>
      </c>
      <c r="B65" s="165" t="inlineStr">
        <is>
          <t>X593</t>
        </is>
      </c>
      <c r="C65" s="165" t="inlineStr">
        <is>
          <t>connector metadata extracted from connector reference</t>
        </is>
      </c>
      <c r="D65" s="165" t="inlineStr">
        <is>
          <t>connectors/X593/metadata.json</t>
        </is>
      </c>
      <c r="E65" s="165" t="inlineStr">
        <is>
          <t>application/json</t>
        </is>
      </c>
      <c r="F65" s="165" t="n">
        <v>772</v>
      </c>
      <c r="G65" s="165" t="inlineStr">
        <is>
          <t>generated</t>
        </is>
      </c>
      <c r="H65" s="165" t="inlineStr">
        <is>
          <t>1e3cc88b7c6f5191874f027f740e890c2a33a71364e56d8b08a087d575d0dbd8</t>
        </is>
      </c>
      <c r="I65" s="165" t="inlineStr">
        <is>
          <t>VERIFIED</t>
        </is>
      </c>
      <c r="J65" s="166" t="inlineStr">
        <is>
          <t>https://service.tesla.com/docs/Model3/ElectricalReference/prog-333/interactive/json/connector_reference_export.json</t>
        </is>
      </c>
    </row>
    <row r="66">
      <c r="A66" s="15" t="n">
        <v>65</v>
      </c>
      <c r="B66" s="165" t="inlineStr">
        <is>
          <t>X595</t>
        </is>
      </c>
      <c r="C66" s="165" t="inlineStr">
        <is>
          <t>connector metadata extracted from connector reference</t>
        </is>
      </c>
      <c r="D66" s="165" t="inlineStr">
        <is>
          <t>connectors/X595/metadata.json</t>
        </is>
      </c>
      <c r="E66" s="165" t="inlineStr">
        <is>
          <t>application/json</t>
        </is>
      </c>
      <c r="F66" s="165" t="n">
        <v>881</v>
      </c>
      <c r="G66" s="165" t="inlineStr">
        <is>
          <t>generated</t>
        </is>
      </c>
      <c r="H66" s="165" t="inlineStr">
        <is>
          <t>887f59baadb1e235330e539c92aa1d36d8439f16989881ff77b24e114aebba2f</t>
        </is>
      </c>
      <c r="I66" s="165" t="inlineStr">
        <is>
          <t>VERIFIED</t>
        </is>
      </c>
      <c r="J66" s="166" t="inlineStr">
        <is>
          <t>https://service.tesla.com/docs/Model3/ElectricalReference/prog-333/interactive/json/connector_reference_export.json</t>
        </is>
      </c>
    </row>
    <row r="67">
      <c r="A67" s="15" t="n">
        <v>66</v>
      </c>
      <c r="B67" s="165" t="inlineStr">
        <is>
          <t>X600</t>
        </is>
      </c>
      <c r="C67" s="165" t="inlineStr">
        <is>
          <t>connector metadata extracted from connector reference</t>
        </is>
      </c>
      <c r="D67" s="165" t="inlineStr">
        <is>
          <t>connectors/X600/metadata.json</t>
        </is>
      </c>
      <c r="E67" s="165" t="inlineStr">
        <is>
          <t>application/json</t>
        </is>
      </c>
      <c r="F67" s="165" t="n">
        <v>846</v>
      </c>
      <c r="G67" s="165" t="inlineStr">
        <is>
          <t>generated</t>
        </is>
      </c>
      <c r="H67" s="165" t="inlineStr">
        <is>
          <t>a68cb1a44b6b35ed07e63e0d1e4350d1d5018fc20926e43b6c0fcc2bd603b4ee</t>
        </is>
      </c>
      <c r="I67" s="165" t="inlineStr">
        <is>
          <t>VERIFIED</t>
        </is>
      </c>
      <c r="J67" s="166" t="inlineStr">
        <is>
          <t>https://service.tesla.com/docs/Model3/ElectricalReference/prog-333/interactive/json/connector_reference_export.json</t>
        </is>
      </c>
    </row>
    <row r="68">
      <c r="A68" s="15" t="n">
        <v>67</v>
      </c>
      <c r="B68" s="165" t="inlineStr">
        <is>
          <t>X601</t>
        </is>
      </c>
      <c r="C68" s="165" t="inlineStr">
        <is>
          <t>connector metadata extracted from connector reference</t>
        </is>
      </c>
      <c r="D68" s="165" t="inlineStr">
        <is>
          <t>connectors/X601/metadata.json</t>
        </is>
      </c>
      <c r="E68" s="165" t="inlineStr">
        <is>
          <t>application/json</t>
        </is>
      </c>
      <c r="F68" s="165" t="n">
        <v>846</v>
      </c>
      <c r="G68" s="165" t="inlineStr">
        <is>
          <t>generated</t>
        </is>
      </c>
      <c r="H68" s="165" t="inlineStr">
        <is>
          <t>57745d8799737604616b251f0b70e4641b8093d5248ddb6c87172a8badb89e63</t>
        </is>
      </c>
      <c r="I68" s="165" t="inlineStr">
        <is>
          <t>VERIFIED</t>
        </is>
      </c>
      <c r="J68" s="166" t="inlineStr">
        <is>
          <t>https://service.tesla.com/docs/Model3/ElectricalReference/prog-333/interactive/json/connector_reference_export.json</t>
        </is>
      </c>
    </row>
    <row r="69">
      <c r="A69" s="15" t="n">
        <v>68</v>
      </c>
      <c r="B69" s="165" t="inlineStr">
        <is>
          <t>X602</t>
        </is>
      </c>
      <c r="C69" s="165" t="inlineStr">
        <is>
          <t>connector metadata extracted from connector reference</t>
        </is>
      </c>
      <c r="D69" s="165" t="inlineStr">
        <is>
          <t>connectors/X602/metadata.json</t>
        </is>
      </c>
      <c r="E69" s="165" t="inlineStr">
        <is>
          <t>application/json</t>
        </is>
      </c>
      <c r="F69" s="165" t="n">
        <v>770</v>
      </c>
      <c r="G69" s="165" t="inlineStr">
        <is>
          <t>generated</t>
        </is>
      </c>
      <c r="H69" s="165" t="inlineStr">
        <is>
          <t>a6efb71df267fe15e73516f1d5710b1365ef943cc2a9308a620e5b8520c9fe11</t>
        </is>
      </c>
      <c r="I69" s="165" t="inlineStr">
        <is>
          <t>VERIFIED</t>
        </is>
      </c>
      <c r="J69" s="166" t="inlineStr">
        <is>
          <t>https://service.tesla.com/docs/Model3/ElectricalReference/prog-333/interactive/json/connector_reference_export.json</t>
        </is>
      </c>
    </row>
    <row r="70">
      <c r="A70" s="15" t="n">
        <v>69</v>
      </c>
      <c r="B70" s="165" t="inlineStr">
        <is>
          <t>X603</t>
        </is>
      </c>
      <c r="C70" s="165" t="inlineStr">
        <is>
          <t>connector metadata extracted from connector reference</t>
        </is>
      </c>
      <c r="D70" s="165" t="inlineStr">
        <is>
          <t>connectors/X603/metadata.json</t>
        </is>
      </c>
      <c r="E70" s="165" t="inlineStr">
        <is>
          <t>application/json</t>
        </is>
      </c>
      <c r="F70" s="165" t="n">
        <v>843</v>
      </c>
      <c r="G70" s="165" t="inlineStr">
        <is>
          <t>generated</t>
        </is>
      </c>
      <c r="H70" s="165" t="inlineStr">
        <is>
          <t>0073df3e164e47cd95c91c7f82010f08b329aa0710422c426f2776abff540053</t>
        </is>
      </c>
      <c r="I70" s="165" t="inlineStr">
        <is>
          <t>VERIFIED</t>
        </is>
      </c>
      <c r="J70" s="166" t="inlineStr">
        <is>
          <t>https://service.tesla.com/docs/Model3/ElectricalReference/prog-333/interactive/json/connector_reference_export.json</t>
        </is>
      </c>
    </row>
    <row r="71">
      <c r="A71" s="15" t="n">
        <v>70</v>
      </c>
      <c r="B71" s="165" t="inlineStr">
        <is>
          <t>X603A</t>
        </is>
      </c>
      <c r="C71" s="165" t="inlineStr">
        <is>
          <t>connector metadata extracted from connector reference</t>
        </is>
      </c>
      <c r="D71" s="165" t="inlineStr">
        <is>
          <t>connectors/X603A/metadata.json</t>
        </is>
      </c>
      <c r="E71" s="165" t="inlineStr">
        <is>
          <t>application/json</t>
        </is>
      </c>
      <c r="F71" s="165" t="n">
        <v>846</v>
      </c>
      <c r="G71" s="165" t="inlineStr">
        <is>
          <t>generated</t>
        </is>
      </c>
      <c r="H71" s="165" t="inlineStr">
        <is>
          <t>638c6304ecc9111caea7889ded651fa798fc762dc8d83a5df2542606e9ac4805</t>
        </is>
      </c>
      <c r="I71" s="165" t="inlineStr">
        <is>
          <t>VERIFIED</t>
        </is>
      </c>
      <c r="J71" s="166" t="inlineStr">
        <is>
          <t>https://service.tesla.com/docs/Model3/ElectricalReference/prog-333/interactive/json/connector_reference_export.json</t>
        </is>
      </c>
    </row>
    <row r="72">
      <c r="A72" s="15" t="n">
        <v>71</v>
      </c>
      <c r="B72" s="165" t="inlineStr">
        <is>
          <t>X604</t>
        </is>
      </c>
      <c r="C72" s="165" t="inlineStr">
        <is>
          <t>connector metadata extracted from connector reference</t>
        </is>
      </c>
      <c r="D72" s="165" t="inlineStr">
        <is>
          <t>connectors/X604/metadata.json</t>
        </is>
      </c>
      <c r="E72" s="165" t="inlineStr">
        <is>
          <t>application/json</t>
        </is>
      </c>
      <c r="F72" s="165" t="n">
        <v>785</v>
      </c>
      <c r="G72" s="165" t="inlineStr">
        <is>
          <t>generated</t>
        </is>
      </c>
      <c r="H72" s="165" t="inlineStr">
        <is>
          <t>9e202d124af174bceed77bb4db70f457b8f69539f38e58c9fe566ca01fd5c8c1</t>
        </is>
      </c>
      <c r="I72" s="165" t="inlineStr">
        <is>
          <t>VERIFIED</t>
        </is>
      </c>
      <c r="J72" s="166" t="inlineStr">
        <is>
          <t>https://service.tesla.com/docs/Model3/ElectricalReference/prog-333/interactive/json/connector_reference_export.json</t>
        </is>
      </c>
    </row>
    <row r="73">
      <c r="A73" s="15" t="n">
        <v>72</v>
      </c>
      <c r="B73" s="165" t="inlineStr">
        <is>
          <t>X607</t>
        </is>
      </c>
      <c r="C73" s="165" t="inlineStr">
        <is>
          <t>connector metadata extracted from connector reference</t>
        </is>
      </c>
      <c r="D73" s="165" t="inlineStr">
        <is>
          <t>connectors/X607/metadata.json</t>
        </is>
      </c>
      <c r="E73" s="165" t="inlineStr">
        <is>
          <t>application/json</t>
        </is>
      </c>
      <c r="F73" s="165" t="n">
        <v>1528</v>
      </c>
      <c r="G73" s="165" t="inlineStr">
        <is>
          <t>generated</t>
        </is>
      </c>
      <c r="H73" s="165" t="inlineStr">
        <is>
          <t>edb38175255336f07faa1abdebe18247bc699a3c7c968f1e344f6b9824f2f4a7</t>
        </is>
      </c>
      <c r="I73" s="165" t="inlineStr">
        <is>
          <t>VERIFIED</t>
        </is>
      </c>
      <c r="J73" s="166" t="inlineStr">
        <is>
          <t>https://service.tesla.com/docs/Model3/ElectricalReference/prog-333/interactive/json/connector_reference_export.json</t>
        </is>
      </c>
    </row>
    <row r="74">
      <c r="A74" s="15" t="n">
        <v>73</v>
      </c>
      <c r="B74" s="165" t="inlineStr">
        <is>
          <t>X608</t>
        </is>
      </c>
      <c r="C74" s="165" t="inlineStr">
        <is>
          <t>connector metadata extracted from connector reference</t>
        </is>
      </c>
      <c r="D74" s="165" t="inlineStr">
        <is>
          <t>connectors/X608/metadata.json</t>
        </is>
      </c>
      <c r="E74" s="165" t="inlineStr">
        <is>
          <t>application/json</t>
        </is>
      </c>
      <c r="F74" s="165" t="n">
        <v>1599</v>
      </c>
      <c r="G74" s="165" t="inlineStr">
        <is>
          <t>generated</t>
        </is>
      </c>
      <c r="H74" s="165" t="inlineStr">
        <is>
          <t>533818b1f09f8db5828ecc312e3473381056f15cf4023f4f8efebbb5ce91586d</t>
        </is>
      </c>
      <c r="I74" s="165" t="inlineStr">
        <is>
          <t>VERIFIED</t>
        </is>
      </c>
      <c r="J74" s="166" t="inlineStr">
        <is>
          <t>https://service.tesla.com/docs/Model3/ElectricalReference/prog-333/interactive/json/connector_reference_export.json</t>
        </is>
      </c>
    </row>
    <row r="75">
      <c r="A75" s="15" t="n">
        <v>74</v>
      </c>
      <c r="B75" s="165" t="inlineStr">
        <is>
          <t>X609</t>
        </is>
      </c>
      <c r="C75" s="165" t="inlineStr">
        <is>
          <t>connector metadata extracted from connector reference</t>
        </is>
      </c>
      <c r="D75" s="165" t="inlineStr">
        <is>
          <t>connectors/X609/metadata.json</t>
        </is>
      </c>
      <c r="E75" s="165" t="inlineStr">
        <is>
          <t>application/json</t>
        </is>
      </c>
      <c r="F75" s="165" t="n">
        <v>1603</v>
      </c>
      <c r="G75" s="165" t="inlineStr">
        <is>
          <t>generated</t>
        </is>
      </c>
      <c r="H75" s="165" t="inlineStr">
        <is>
          <t>72c723c9bd9ccc1cdad7d7a9d3825cde25d9d7f950c567619687cdd498104b80</t>
        </is>
      </c>
      <c r="I75" s="165" t="inlineStr">
        <is>
          <t>VERIFIED</t>
        </is>
      </c>
      <c r="J75" s="166" t="inlineStr">
        <is>
          <t>https://service.tesla.com/docs/Model3/ElectricalReference/prog-333/interactive/json/connector_reference_export.json</t>
        </is>
      </c>
    </row>
    <row r="76">
      <c r="A76" s="15" t="n">
        <v>75</v>
      </c>
      <c r="B76" s="165" t="inlineStr">
        <is>
          <t>X818</t>
        </is>
      </c>
      <c r="C76" s="165" t="inlineStr">
        <is>
          <t>connector metadata extracted from connector reference</t>
        </is>
      </c>
      <c r="D76" s="165" t="inlineStr">
        <is>
          <t>connectors/X818/metadata.json</t>
        </is>
      </c>
      <c r="E76" s="165" t="inlineStr">
        <is>
          <t>application/json</t>
        </is>
      </c>
      <c r="F76" s="165" t="n">
        <v>563</v>
      </c>
      <c r="G76" s="165" t="inlineStr">
        <is>
          <t>generated</t>
        </is>
      </c>
      <c r="H76" s="165" t="inlineStr">
        <is>
          <t>1d179671bacdb47805f3bd6994294ed265fe94f7c0d5a352afbf81583c328359</t>
        </is>
      </c>
      <c r="I76" s="165" t="inlineStr">
        <is>
          <t>VERIFIED</t>
        </is>
      </c>
      <c r="J76" s="166" t="inlineStr">
        <is>
          <t>https://service.tesla.com/docs/Model3/ElectricalReference/prog-333/interactive/json/connector_reference_export.json</t>
        </is>
      </c>
    </row>
    <row r="77">
      <c r="A77" s="15" t="n">
        <v>76</v>
      </c>
      <c r="B77" s="165" t="inlineStr">
        <is>
          <t>X845</t>
        </is>
      </c>
      <c r="C77" s="165" t="inlineStr">
        <is>
          <t>connector metadata extracted from connector reference</t>
        </is>
      </c>
      <c r="D77" s="165" t="inlineStr">
        <is>
          <t>connectors/X845/metadata.json</t>
        </is>
      </c>
      <c r="E77" s="165" t="inlineStr">
        <is>
          <t>application/json</t>
        </is>
      </c>
      <c r="F77" s="165" t="n">
        <v>562</v>
      </c>
      <c r="G77" s="165" t="inlineStr">
        <is>
          <t>generated</t>
        </is>
      </c>
      <c r="H77" s="165" t="inlineStr">
        <is>
          <t>5bf6504a4600c708969dd8a230cadfc1f05d16bdf2625d4ca38956503eb568a0</t>
        </is>
      </c>
      <c r="I77" s="165" t="inlineStr">
        <is>
          <t>VERIFIED</t>
        </is>
      </c>
      <c r="J77" s="166" t="inlineStr">
        <is>
          <t>https://service.tesla.com/docs/Model3/ElectricalReference/prog-333/interactive/json/connector_reference_export.json</t>
        </is>
      </c>
    </row>
    <row r="78">
      <c r="A78" s="15" t="n">
        <v>77</v>
      </c>
      <c r="B78" s="165" t="inlineStr">
        <is>
          <t>X901F</t>
        </is>
      </c>
      <c r="C78" s="165" t="inlineStr">
        <is>
          <t>connector metadata extracted from connector reference</t>
        </is>
      </c>
      <c r="D78" s="165" t="inlineStr">
        <is>
          <t>connectors/X901F/metadata.json</t>
        </is>
      </c>
      <c r="E78" s="165" t="inlineStr">
        <is>
          <t>application/json</t>
        </is>
      </c>
      <c r="F78" s="165" t="n">
        <v>1292</v>
      </c>
      <c r="G78" s="165" t="inlineStr">
        <is>
          <t>generated</t>
        </is>
      </c>
      <c r="H78" s="165" t="inlineStr">
        <is>
          <t>603485b472d87aa2e20b159412f658a14bd674528f25ed2ae44529bcfaf157e9</t>
        </is>
      </c>
      <c r="I78" s="165" t="inlineStr">
        <is>
          <t>VERIFIED</t>
        </is>
      </c>
      <c r="J78" s="166" t="inlineStr">
        <is>
          <t>https://service.tesla.com/docs/Model3/ElectricalReference/prog-333/interactive/json/connector_reference_export.json</t>
        </is>
      </c>
    </row>
    <row r="79">
      <c r="A79" s="15" t="n">
        <v>78</v>
      </c>
      <c r="B79" s="165" t="inlineStr">
        <is>
          <t>X901M</t>
        </is>
      </c>
      <c r="C79" s="165" t="inlineStr">
        <is>
          <t>connector metadata extracted from connector reference</t>
        </is>
      </c>
      <c r="D79" s="165" t="inlineStr">
        <is>
          <t>connectors/X901M/metadata.json</t>
        </is>
      </c>
      <c r="E79" s="165" t="inlineStr">
        <is>
          <t>application/json</t>
        </is>
      </c>
      <c r="F79" s="165" t="n">
        <v>1231</v>
      </c>
      <c r="G79" s="165" t="inlineStr">
        <is>
          <t>generated</t>
        </is>
      </c>
      <c r="H79" s="165" t="inlineStr">
        <is>
          <t>80f333fb2c8214442875beae50910590f0c560d32f8ace69644683389f85e590</t>
        </is>
      </c>
      <c r="I79" s="165" t="inlineStr">
        <is>
          <t>VERIFIED</t>
        </is>
      </c>
      <c r="J79" s="166" t="inlineStr">
        <is>
          <t>https://service.tesla.com/docs/Model3/ElectricalReference/prog-333/interactive/json/connector_reference_export.json</t>
        </is>
      </c>
    </row>
    <row r="80">
      <c r="A80" s="15" t="n">
        <v>79</v>
      </c>
      <c r="B80" s="165" t="inlineStr">
        <is>
          <t>X908F</t>
        </is>
      </c>
      <c r="C80" s="165" t="inlineStr">
        <is>
          <t>connector metadata extracted from connector reference</t>
        </is>
      </c>
      <c r="D80" s="165" t="inlineStr">
        <is>
          <t>connectors/X908F/metadata.json</t>
        </is>
      </c>
      <c r="E80" s="165" t="inlineStr">
        <is>
          <t>application/json</t>
        </is>
      </c>
      <c r="F80" s="165" t="n">
        <v>4052</v>
      </c>
      <c r="G80" s="165" t="inlineStr">
        <is>
          <t>generated</t>
        </is>
      </c>
      <c r="H80" s="165" t="inlineStr">
        <is>
          <t>18c885f5f8518b51124dc468c1cfb1bcc73ee8e6996fb318c4f1929d7760e011</t>
        </is>
      </c>
      <c r="I80" s="165" t="inlineStr">
        <is>
          <t>VERIFIED</t>
        </is>
      </c>
      <c r="J80" s="166" t="inlineStr">
        <is>
          <t>https://service.tesla.com/docs/Model3/ElectricalReference/prog-333/interactive/json/connector_reference_export.json</t>
        </is>
      </c>
    </row>
    <row r="81">
      <c r="A81" s="15" t="n">
        <v>80</v>
      </c>
      <c r="B81" s="165" t="inlineStr">
        <is>
          <t>X908M</t>
        </is>
      </c>
      <c r="C81" s="165" t="inlineStr">
        <is>
          <t>connector metadata extracted from connector reference</t>
        </is>
      </c>
      <c r="D81" s="165" t="inlineStr">
        <is>
          <t>connectors/X908M/metadata.json</t>
        </is>
      </c>
      <c r="E81" s="165" t="inlineStr">
        <is>
          <t>application/json</t>
        </is>
      </c>
      <c r="F81" s="165" t="n">
        <v>4110</v>
      </c>
      <c r="G81" s="165" t="inlineStr">
        <is>
          <t>generated</t>
        </is>
      </c>
      <c r="H81" s="165" t="inlineStr">
        <is>
          <t>2d063606a324e6746d3a635189ee3ec2a41281d762142c5a2a0d2e7362117716</t>
        </is>
      </c>
      <c r="I81" s="165" t="inlineStr">
        <is>
          <t>VERIFIED</t>
        </is>
      </c>
      <c r="J81" s="166" t="inlineStr">
        <is>
          <t>https://service.tesla.com/docs/Model3/ElectricalReference/prog-333/interactive/json/connector_reference_export.json</t>
        </is>
      </c>
    </row>
    <row r="82">
      <c r="A82" s="15" t="n">
        <v>81</v>
      </c>
      <c r="B82" s="165" t="inlineStr">
        <is>
          <t>X922F</t>
        </is>
      </c>
      <c r="C82" s="165" t="inlineStr">
        <is>
          <t>connector metadata extracted from connector reference</t>
        </is>
      </c>
      <c r="D82" s="165" t="inlineStr">
        <is>
          <t>connectors/X922F/metadata.json</t>
        </is>
      </c>
      <c r="E82" s="165" t="inlineStr">
        <is>
          <t>application/json</t>
        </is>
      </c>
      <c r="F82" s="165" t="n">
        <v>4758</v>
      </c>
      <c r="G82" s="165" t="inlineStr">
        <is>
          <t>generated</t>
        </is>
      </c>
      <c r="H82" s="165" t="inlineStr">
        <is>
          <t>3e1065e433e5a1dac8a30b30e4640935a54bd61504527786bac84ff7633ed45a</t>
        </is>
      </c>
      <c r="I82" s="165" t="inlineStr">
        <is>
          <t>VERIFIED</t>
        </is>
      </c>
      <c r="J82" s="166" t="inlineStr">
        <is>
          <t>https://service.tesla.com/docs/Model3/ElectricalReference/prog-333/interactive/json/connector_reference_export.json</t>
        </is>
      </c>
    </row>
    <row r="83">
      <c r="A83" s="15" t="n">
        <v>82</v>
      </c>
      <c r="B83" s="165" t="inlineStr">
        <is>
          <t>X922M</t>
        </is>
      </c>
      <c r="C83" s="165" t="inlineStr">
        <is>
          <t>connector metadata extracted from connector reference</t>
        </is>
      </c>
      <c r="D83" s="165" t="inlineStr">
        <is>
          <t>connectors/X922M/metadata.json</t>
        </is>
      </c>
      <c r="E83" s="165" t="inlineStr">
        <is>
          <t>application/json</t>
        </is>
      </c>
      <c r="F83" s="165" t="n">
        <v>5060</v>
      </c>
      <c r="G83" s="165" t="inlineStr">
        <is>
          <t>generated</t>
        </is>
      </c>
      <c r="H83" s="165" t="inlineStr">
        <is>
          <t>cb367c146b16c503cc519166e7cf14a9a709de35f48efbf2c58533956eae1237</t>
        </is>
      </c>
      <c r="I83" s="165" t="inlineStr">
        <is>
          <t>VERIFIED</t>
        </is>
      </c>
      <c r="J83" s="166" t="inlineStr">
        <is>
          <t>https://service.tesla.com/docs/Model3/ElectricalReference/prog-333/interactive/json/connector_reference_export.json</t>
        </is>
      </c>
    </row>
    <row r="84">
      <c r="A84" s="15" t="n">
        <v>83</v>
      </c>
      <c r="B84" s="165" t="inlineStr">
        <is>
          <t>X923F</t>
        </is>
      </c>
      <c r="C84" s="165" t="inlineStr">
        <is>
          <t>connector metadata extracted from connector reference</t>
        </is>
      </c>
      <c r="D84" s="165" t="inlineStr">
        <is>
          <t>connectors/X923F/metadata.json</t>
        </is>
      </c>
      <c r="E84" s="165" t="inlineStr">
        <is>
          <t>application/json</t>
        </is>
      </c>
      <c r="F84" s="165" t="n">
        <v>4872</v>
      </c>
      <c r="G84" s="165" t="inlineStr">
        <is>
          <t>generated</t>
        </is>
      </c>
      <c r="H84" s="165" t="inlineStr">
        <is>
          <t>d96fb7fdb688881e3b9cd3af8b4f32f605be4c340477fe90add0d96c4404b0d7</t>
        </is>
      </c>
      <c r="I84" s="165" t="inlineStr">
        <is>
          <t>VERIFIED</t>
        </is>
      </c>
      <c r="J84" s="166" t="inlineStr">
        <is>
          <t>https://service.tesla.com/docs/Model3/ElectricalReference/prog-333/interactive/json/connector_reference_export.json</t>
        </is>
      </c>
    </row>
    <row r="85">
      <c r="A85" s="15" t="n">
        <v>84</v>
      </c>
      <c r="B85" s="165" t="inlineStr">
        <is>
          <t>X923M</t>
        </is>
      </c>
      <c r="C85" s="165" t="inlineStr">
        <is>
          <t>connector metadata extracted from connector reference</t>
        </is>
      </c>
      <c r="D85" s="165" t="inlineStr">
        <is>
          <t>connectors/X923M/metadata.json</t>
        </is>
      </c>
      <c r="E85" s="165" t="inlineStr">
        <is>
          <t>application/json</t>
        </is>
      </c>
      <c r="F85" s="165" t="n">
        <v>5125</v>
      </c>
      <c r="G85" s="165" t="inlineStr">
        <is>
          <t>generated</t>
        </is>
      </c>
      <c r="H85" s="165" t="inlineStr">
        <is>
          <t>bddfebb4855a56fe0948317ea0ebd915ee588ad47beb5f181cb1b79b34ff715a</t>
        </is>
      </c>
      <c r="I85" s="165" t="inlineStr">
        <is>
          <t>VERIFIED</t>
        </is>
      </c>
      <c r="J85" s="166" t="inlineStr">
        <is>
          <t>https://service.tesla.com/docs/Model3/ElectricalReference/prog-333/interactive/json/connector_reference_export.json</t>
        </is>
      </c>
    </row>
    <row r="86">
      <c r="A86" s="15" t="n">
        <v>85</v>
      </c>
      <c r="B86" s="165" t="inlineStr">
        <is>
          <t>X924F</t>
        </is>
      </c>
      <c r="C86" s="165" t="inlineStr">
        <is>
          <t>connector metadata extracted from connector reference</t>
        </is>
      </c>
      <c r="D86" s="165" t="inlineStr">
        <is>
          <t>connectors/X924F/metadata.json</t>
        </is>
      </c>
      <c r="E86" s="165" t="inlineStr">
        <is>
          <t>application/json</t>
        </is>
      </c>
      <c r="F86" s="165" t="n">
        <v>6661</v>
      </c>
      <c r="G86" s="165" t="inlineStr">
        <is>
          <t>generated</t>
        </is>
      </c>
      <c r="H86" s="165" t="inlineStr">
        <is>
          <t>6d2abd4422e8a9884644627d8af847551bacfb3ef8fdbb75a02f4e7c4acbfffa</t>
        </is>
      </c>
      <c r="I86" s="165" t="inlineStr">
        <is>
          <t>VERIFIED</t>
        </is>
      </c>
      <c r="J86" s="166" t="inlineStr">
        <is>
          <t>https://service.tesla.com/docs/Model3/ElectricalReference/prog-333/interactive/json/connector_reference_export.json</t>
        </is>
      </c>
    </row>
    <row r="87">
      <c r="A87" s="15" t="n">
        <v>86</v>
      </c>
      <c r="B87" s="165" t="inlineStr">
        <is>
          <t>X924M</t>
        </is>
      </c>
      <c r="C87" s="165" t="inlineStr">
        <is>
          <t>connector metadata extracted from connector reference</t>
        </is>
      </c>
      <c r="D87" s="165" t="inlineStr">
        <is>
          <t>connectors/X924M/metadata.json</t>
        </is>
      </c>
      <c r="E87" s="165" t="inlineStr">
        <is>
          <t>application/json</t>
        </is>
      </c>
      <c r="F87" s="165" t="n">
        <v>6129</v>
      </c>
      <c r="G87" s="165" t="inlineStr">
        <is>
          <t>generated</t>
        </is>
      </c>
      <c r="H87" s="165" t="inlineStr">
        <is>
          <t>b02422b6085c033998071d7a6047860f8369fe5d4a661dbd9f06772393f51708</t>
        </is>
      </c>
      <c r="I87" s="165" t="inlineStr">
        <is>
          <t>VERIFIED</t>
        </is>
      </c>
      <c r="J87" s="166" t="inlineStr">
        <is>
          <t>https://service.tesla.com/docs/Model3/ElectricalReference/prog-333/interactive/json/connector_reference_export.json</t>
        </is>
      </c>
    </row>
    <row r="88">
      <c r="A88" s="15" t="n">
        <v>87</v>
      </c>
      <c r="B88" s="165" t="inlineStr">
        <is>
          <t>X925F</t>
        </is>
      </c>
      <c r="C88" s="165" t="inlineStr">
        <is>
          <t>connector metadata extracted from connector reference</t>
        </is>
      </c>
      <c r="D88" s="165" t="inlineStr">
        <is>
          <t>connectors/X925F/metadata.json</t>
        </is>
      </c>
      <c r="E88" s="165" t="inlineStr">
        <is>
          <t>application/json</t>
        </is>
      </c>
      <c r="F88" s="165" t="n">
        <v>3203</v>
      </c>
      <c r="G88" s="165" t="inlineStr">
        <is>
          <t>generated</t>
        </is>
      </c>
      <c r="H88" s="165" t="inlineStr">
        <is>
          <t>3ca4862f77a6f8ade0e6bd0345c0fa25fbfcb4b0fd0512d3aa99c0a63d1e0a2a</t>
        </is>
      </c>
      <c r="I88" s="165" t="inlineStr">
        <is>
          <t>VERIFIED</t>
        </is>
      </c>
      <c r="J88" s="166" t="inlineStr">
        <is>
          <t>https://service.tesla.com/docs/Model3/ElectricalReference/prog-333/interactive/json/connector_reference_export.json</t>
        </is>
      </c>
    </row>
    <row r="89">
      <c r="A89" s="15" t="n">
        <v>88</v>
      </c>
      <c r="B89" s="165" t="inlineStr">
        <is>
          <t>X925M</t>
        </is>
      </c>
      <c r="C89" s="165" t="inlineStr">
        <is>
          <t>connector metadata extracted from connector reference</t>
        </is>
      </c>
      <c r="D89" s="165" t="inlineStr">
        <is>
          <t>connectors/X925M/metadata.json</t>
        </is>
      </c>
      <c r="E89" s="165" t="inlineStr">
        <is>
          <t>application/json</t>
        </is>
      </c>
      <c r="F89" s="165" t="n">
        <v>2937</v>
      </c>
      <c r="G89" s="165" t="inlineStr">
        <is>
          <t>generated</t>
        </is>
      </c>
      <c r="H89" s="165" t="inlineStr">
        <is>
          <t>d02003098d37e7f4a68c2eec7b7beff6a5e907621074d40e944aac95128730c4</t>
        </is>
      </c>
      <c r="I89" s="165" t="inlineStr">
        <is>
          <t>VERIFIED</t>
        </is>
      </c>
      <c r="J89" s="166" t="inlineStr">
        <is>
          <t>https://service.tesla.com/docs/Model3/ElectricalReference/prog-333/interactive/json/connector_reference_export.json</t>
        </is>
      </c>
    </row>
    <row r="90">
      <c r="A90" s="15" t="n">
        <v>89</v>
      </c>
      <c r="B90" s="165" t="inlineStr">
        <is>
          <t>X926F</t>
        </is>
      </c>
      <c r="C90" s="165" t="inlineStr">
        <is>
          <t>connector metadata extracted from connector reference</t>
        </is>
      </c>
      <c r="D90" s="165" t="inlineStr">
        <is>
          <t>connectors/X926F/metadata.json</t>
        </is>
      </c>
      <c r="E90" s="165" t="inlineStr">
        <is>
          <t>application/json</t>
        </is>
      </c>
      <c r="F90" s="165" t="n">
        <v>6587</v>
      </c>
      <c r="G90" s="165" t="inlineStr">
        <is>
          <t>generated</t>
        </is>
      </c>
      <c r="H90" s="165" t="inlineStr">
        <is>
          <t>d835d2dcf8aa88c857d0dbd294b06018edfc35ce30def5261fa2667c77b6060d</t>
        </is>
      </c>
      <c r="I90" s="165" t="inlineStr">
        <is>
          <t>VERIFIED</t>
        </is>
      </c>
      <c r="J90" s="166" t="inlineStr">
        <is>
          <t>https://service.tesla.com/docs/Model3/ElectricalReference/prog-333/interactive/json/connector_reference_export.json</t>
        </is>
      </c>
    </row>
    <row r="91">
      <c r="A91" s="15" t="n">
        <v>90</v>
      </c>
      <c r="B91" s="165" t="inlineStr">
        <is>
          <t>X926M</t>
        </is>
      </c>
      <c r="C91" s="165" t="inlineStr">
        <is>
          <t>connector metadata extracted from connector reference</t>
        </is>
      </c>
      <c r="D91" s="165" t="inlineStr">
        <is>
          <t>connectors/X926M/metadata.json</t>
        </is>
      </c>
      <c r="E91" s="165" t="inlineStr">
        <is>
          <t>application/json</t>
        </is>
      </c>
      <c r="F91" s="165" t="n">
        <v>6144</v>
      </c>
      <c r="G91" s="165" t="inlineStr">
        <is>
          <t>generated</t>
        </is>
      </c>
      <c r="H91" s="165" t="inlineStr">
        <is>
          <t>977a81bff54f1c2fca1dc82a6bb80b17b2c098b7864f3778590e99f13057d93d</t>
        </is>
      </c>
      <c r="I91" s="165" t="inlineStr">
        <is>
          <t>VERIFIED</t>
        </is>
      </c>
      <c r="J91" s="166" t="inlineStr">
        <is>
          <t>https://service.tesla.com/docs/Model3/ElectricalReference/prog-333/interactive/json/connector_reference_export.json</t>
        </is>
      </c>
    </row>
    <row r="92">
      <c r="A92" s="15" t="n">
        <v>91</v>
      </c>
      <c r="B92" s="165" t="inlineStr">
        <is>
          <t>X927F</t>
        </is>
      </c>
      <c r="C92" s="165" t="inlineStr">
        <is>
          <t>connector metadata extracted from connector reference</t>
        </is>
      </c>
      <c r="D92" s="165" t="inlineStr">
        <is>
          <t>connectors/X927F/metadata.json</t>
        </is>
      </c>
      <c r="E92" s="165" t="inlineStr">
        <is>
          <t>application/json</t>
        </is>
      </c>
      <c r="F92" s="165" t="n">
        <v>3211</v>
      </c>
      <c r="G92" s="165" t="inlineStr">
        <is>
          <t>generated</t>
        </is>
      </c>
      <c r="H92" s="165" t="inlineStr">
        <is>
          <t>0a263800ee3abfa79b5e5cbeaf78b29648f2b7cdf5a87d442f88bdbf6144fdee</t>
        </is>
      </c>
      <c r="I92" s="165" t="inlineStr">
        <is>
          <t>VERIFIED</t>
        </is>
      </c>
      <c r="J92" s="166" t="inlineStr">
        <is>
          <t>https://service.tesla.com/docs/Model3/ElectricalReference/prog-333/interactive/json/connector_reference_export.json</t>
        </is>
      </c>
    </row>
    <row r="93">
      <c r="A93" s="15" t="n">
        <v>92</v>
      </c>
      <c r="B93" s="165" t="inlineStr">
        <is>
          <t>X927M</t>
        </is>
      </c>
      <c r="C93" s="165" t="inlineStr">
        <is>
          <t>connector metadata extracted from connector reference</t>
        </is>
      </c>
      <c r="D93" s="165" t="inlineStr">
        <is>
          <t>connectors/X927M/metadata.json</t>
        </is>
      </c>
      <c r="E93" s="165" t="inlineStr">
        <is>
          <t>application/json</t>
        </is>
      </c>
      <c r="F93" s="165" t="n">
        <v>2942</v>
      </c>
      <c r="G93" s="165" t="inlineStr">
        <is>
          <t>generated</t>
        </is>
      </c>
      <c r="H93" s="165" t="inlineStr">
        <is>
          <t>5450fa380835c1769a61a08be283b6c7163b2132136c53605cafae71b1fc6b93</t>
        </is>
      </c>
      <c r="I93" s="165" t="inlineStr">
        <is>
          <t>VERIFIED</t>
        </is>
      </c>
      <c r="J93" s="166" t="inlineStr">
        <is>
          <t>https://service.tesla.com/docs/Model3/ElectricalReference/prog-333/interactive/json/connector_reference_export.json</t>
        </is>
      </c>
    </row>
    <row r="94">
      <c r="A94" s="15" t="n">
        <v>93</v>
      </c>
      <c r="B94" s="165" t="inlineStr">
        <is>
          <t>X935F</t>
        </is>
      </c>
      <c r="C94" s="165" t="inlineStr">
        <is>
          <t>connector metadata extracted from connector reference</t>
        </is>
      </c>
      <c r="D94" s="165" t="inlineStr">
        <is>
          <t>connectors/X935F/metadata.json</t>
        </is>
      </c>
      <c r="E94" s="165" t="inlineStr">
        <is>
          <t>application/json</t>
        </is>
      </c>
      <c r="F94" s="165" t="n">
        <v>7118</v>
      </c>
      <c r="G94" s="165" t="inlineStr">
        <is>
          <t>generated</t>
        </is>
      </c>
      <c r="H94" s="165" t="inlineStr">
        <is>
          <t>7d5f8d1ff8cc27ec15161fb59e9ccbc0bb7692f32c5c75c73cc095fcb6e9bf3c</t>
        </is>
      </c>
      <c r="I94" s="165" t="inlineStr">
        <is>
          <t>VERIFIED</t>
        </is>
      </c>
      <c r="J94" s="166" t="inlineStr">
        <is>
          <t>https://service.tesla.com/docs/Model3/ElectricalReference/prog-333/interactive/json/connector_reference_export.json</t>
        </is>
      </c>
    </row>
    <row r="95">
      <c r="A95" s="15" t="n">
        <v>94</v>
      </c>
      <c r="B95" s="165" t="inlineStr">
        <is>
          <t>X935M</t>
        </is>
      </c>
      <c r="C95" s="165" t="inlineStr">
        <is>
          <t>connector metadata extracted from connector reference</t>
        </is>
      </c>
      <c r="D95" s="165" t="inlineStr">
        <is>
          <t>connectors/X935M/metadata.json</t>
        </is>
      </c>
      <c r="E95" s="165" t="inlineStr">
        <is>
          <t>application/json</t>
        </is>
      </c>
      <c r="F95" s="165" t="n">
        <v>7105</v>
      </c>
      <c r="G95" s="165" t="inlineStr">
        <is>
          <t>generated</t>
        </is>
      </c>
      <c r="H95" s="165" t="inlineStr">
        <is>
          <t>39e559af97d761e8dbb404567e8ff723d879601bee2d1a7fafc3e8b19a91314c</t>
        </is>
      </c>
      <c r="I95" s="165" t="inlineStr">
        <is>
          <t>VERIFIED</t>
        </is>
      </c>
      <c r="J95" s="166" t="inlineStr">
        <is>
          <t>https://service.tesla.com/docs/Model3/ElectricalReference/prog-333/interactive/json/connector_reference_export.json</t>
        </is>
      </c>
    </row>
    <row r="96">
      <c r="A96" s="15" t="n">
        <v>95</v>
      </c>
      <c r="B96" s="165" t="inlineStr">
        <is>
          <t>X936F</t>
        </is>
      </c>
      <c r="C96" s="165" t="inlineStr">
        <is>
          <t>connector metadata extracted from connector reference</t>
        </is>
      </c>
      <c r="D96" s="165" t="inlineStr">
        <is>
          <t>connectors/X936F/metadata.json</t>
        </is>
      </c>
      <c r="E96" s="165" t="inlineStr">
        <is>
          <t>application/json</t>
        </is>
      </c>
      <c r="F96" s="165" t="n">
        <v>7162</v>
      </c>
      <c r="G96" s="165" t="inlineStr">
        <is>
          <t>generated</t>
        </is>
      </c>
      <c r="H96" s="165" t="inlineStr">
        <is>
          <t>70e7693b7fde89a61c50d5adcae3a13b959fe9cf49f62b99cb71f4ff5277e077</t>
        </is>
      </c>
      <c r="I96" s="165" t="inlineStr">
        <is>
          <t>VERIFIED</t>
        </is>
      </c>
      <c r="J96" s="166" t="inlineStr">
        <is>
          <t>https://service.tesla.com/docs/Model3/ElectricalReference/prog-333/interactive/json/connector_reference_export.json</t>
        </is>
      </c>
    </row>
    <row r="97">
      <c r="A97" s="15" t="n">
        <v>96</v>
      </c>
      <c r="B97" s="165" t="inlineStr">
        <is>
          <t>X936M</t>
        </is>
      </c>
      <c r="C97" s="165" t="inlineStr">
        <is>
          <t>connector metadata extracted from connector reference</t>
        </is>
      </c>
      <c r="D97" s="165" t="inlineStr">
        <is>
          <t>connectors/X936M/metadata.json</t>
        </is>
      </c>
      <c r="E97" s="165" t="inlineStr">
        <is>
          <t>application/json</t>
        </is>
      </c>
      <c r="F97" s="165" t="n">
        <v>7057</v>
      </c>
      <c r="G97" s="165" t="inlineStr">
        <is>
          <t>generated</t>
        </is>
      </c>
      <c r="H97" s="165" t="inlineStr">
        <is>
          <t>62b8f35d023646e00472f5f9ae86a3328193e7671040d44a91a2a3c2579acac0</t>
        </is>
      </c>
      <c r="I97" s="165" t="inlineStr">
        <is>
          <t>VERIFIED</t>
        </is>
      </c>
      <c r="J97" s="166" t="inlineStr">
        <is>
          <t>https://service.tesla.com/docs/Model3/ElectricalReference/prog-333/interactive/json/connector_reference_export.json</t>
        </is>
      </c>
    </row>
    <row r="98">
      <c r="A98" s="15" t="n">
        <v>97</v>
      </c>
      <c r="B98" s="165" t="inlineStr">
        <is>
          <t>X949F</t>
        </is>
      </c>
      <c r="C98" s="165" t="inlineStr">
        <is>
          <t>connector metadata extracted from connector reference</t>
        </is>
      </c>
      <c r="D98" s="165" t="inlineStr">
        <is>
          <t>connectors/X949F/metadata.json</t>
        </is>
      </c>
      <c r="E98" s="165" t="inlineStr">
        <is>
          <t>application/json</t>
        </is>
      </c>
      <c r="F98" s="165" t="n">
        <v>3079</v>
      </c>
      <c r="G98" s="165" t="inlineStr">
        <is>
          <t>generated</t>
        </is>
      </c>
      <c r="H98" s="165" t="inlineStr">
        <is>
          <t>7c6864db265a25e807011c084570b16474021804257147374c36fa7f59d5cba3</t>
        </is>
      </c>
      <c r="I98" s="165" t="inlineStr">
        <is>
          <t>VERIFIED</t>
        </is>
      </c>
      <c r="J98" s="166" t="inlineStr">
        <is>
          <t>https://service.tesla.com/docs/Model3/ElectricalReference/prog-333/interactive/json/connector_reference_export.json</t>
        </is>
      </c>
    </row>
    <row r="99">
      <c r="A99" s="15" t="n">
        <v>98</v>
      </c>
      <c r="B99" s="165" t="inlineStr">
        <is>
          <t>X949M</t>
        </is>
      </c>
      <c r="C99" s="165" t="inlineStr">
        <is>
          <t>connector metadata extracted from connector reference</t>
        </is>
      </c>
      <c r="D99" s="165" t="inlineStr">
        <is>
          <t>connectors/X949M/metadata.json</t>
        </is>
      </c>
      <c r="E99" s="165" t="inlineStr">
        <is>
          <t>application/json</t>
        </is>
      </c>
      <c r="F99" s="165" t="n">
        <v>3234</v>
      </c>
      <c r="G99" s="165" t="inlineStr">
        <is>
          <t>generated</t>
        </is>
      </c>
      <c r="H99" s="165" t="inlineStr">
        <is>
          <t>fbe09fafb7e38b4a4d98a3a45c5e20fa8b33f7856be60c185dd5eb8e071e2372</t>
        </is>
      </c>
      <c r="I99" s="165" t="inlineStr">
        <is>
          <t>VERIFIED</t>
        </is>
      </c>
      <c r="J99" s="166" t="inlineStr">
        <is>
          <t>https://service.tesla.com/docs/Model3/ElectricalReference/prog-333/interactive/json/connector_reference_export.json</t>
        </is>
      </c>
    </row>
    <row r="100">
      <c r="A100" s="15" t="n">
        <v>99</v>
      </c>
      <c r="B100" s="165" t="inlineStr">
        <is>
          <t>X952F</t>
        </is>
      </c>
      <c r="C100" s="165" t="inlineStr">
        <is>
          <t>connector metadata extracted from connector reference</t>
        </is>
      </c>
      <c r="D100" s="165" t="inlineStr">
        <is>
          <t>connectors/X952F/metadata.json</t>
        </is>
      </c>
      <c r="E100" s="165" t="inlineStr">
        <is>
          <t>application/json</t>
        </is>
      </c>
      <c r="F100" s="165" t="n">
        <v>3548</v>
      </c>
      <c r="G100" s="165" t="inlineStr">
        <is>
          <t>generated</t>
        </is>
      </c>
      <c r="H100" s="165" t="inlineStr">
        <is>
          <t>17f09872a50893f2af1358cdb7041c6f9b12078688e873c7f284765c802e709f</t>
        </is>
      </c>
      <c r="I100" s="165" t="inlineStr">
        <is>
          <t>VERIFIED</t>
        </is>
      </c>
      <c r="J100" s="166" t="inlineStr">
        <is>
          <t>https://service.tesla.com/docs/Model3/ElectricalReference/prog-333/interactive/json/connector_reference_export.json</t>
        </is>
      </c>
    </row>
    <row r="101">
      <c r="A101" s="15" t="n">
        <v>100</v>
      </c>
      <c r="B101" s="165" t="inlineStr">
        <is>
          <t>X952M</t>
        </is>
      </c>
      <c r="C101" s="165" t="inlineStr">
        <is>
          <t>connector metadata extracted from connector reference</t>
        </is>
      </c>
      <c r="D101" s="165" t="inlineStr">
        <is>
          <t>connectors/X952M/metadata.json</t>
        </is>
      </c>
      <c r="E101" s="165" t="inlineStr">
        <is>
          <t>application/json</t>
        </is>
      </c>
      <c r="F101" s="165" t="n">
        <v>3313</v>
      </c>
      <c r="G101" s="165" t="inlineStr">
        <is>
          <t>generated</t>
        </is>
      </c>
      <c r="H101" s="165" t="inlineStr">
        <is>
          <t>f8a305e7c1f9f8901eb9ca9f9076bf4c4d4b11a9343d3b167f3a8b3917fa6cdd</t>
        </is>
      </c>
      <c r="I101" s="165" t="inlineStr">
        <is>
          <t>VERIFIED</t>
        </is>
      </c>
      <c r="J101" s="166" t="inlineStr">
        <is>
          <t>https://service.tesla.com/docs/Model3/ElectricalReference/prog-333/interactive/json/connector_reference_export.json</t>
        </is>
      </c>
    </row>
    <row r="102">
      <c r="A102" s="15" t="n">
        <v>101</v>
      </c>
      <c r="B102" s="165" t="inlineStr">
        <is>
          <t>X970F</t>
        </is>
      </c>
      <c r="C102" s="165" t="inlineStr">
        <is>
          <t>connector metadata extracted from connector reference</t>
        </is>
      </c>
      <c r="D102" s="165" t="inlineStr">
        <is>
          <t>connectors/X970F/metadata.json</t>
        </is>
      </c>
      <c r="E102" s="165" t="inlineStr">
        <is>
          <t>application/json</t>
        </is>
      </c>
      <c r="F102" s="165" t="n">
        <v>1790</v>
      </c>
      <c r="G102" s="165" t="inlineStr">
        <is>
          <t>generated</t>
        </is>
      </c>
      <c r="H102" s="165" t="inlineStr">
        <is>
          <t>435368e0c929a165770e392fc3e61c94436c193feee437f37aadce4b742a8a30</t>
        </is>
      </c>
      <c r="I102" s="165" t="inlineStr">
        <is>
          <t>VERIFIED</t>
        </is>
      </c>
      <c r="J102" s="166" t="inlineStr">
        <is>
          <t>https://service.tesla.com/docs/Model3/ElectricalReference/prog-333/interactive/json/connector_reference_export.json</t>
        </is>
      </c>
    </row>
    <row r="103">
      <c r="A103" s="15" t="n">
        <v>102</v>
      </c>
      <c r="B103" s="165" t="inlineStr">
        <is>
          <t>X970M</t>
        </is>
      </c>
      <c r="C103" s="165" t="inlineStr">
        <is>
          <t>connector metadata extracted from connector reference</t>
        </is>
      </c>
      <c r="D103" s="165" t="inlineStr">
        <is>
          <t>connectors/X970M/metadata.json</t>
        </is>
      </c>
      <c r="E103" s="165" t="inlineStr">
        <is>
          <t>application/json</t>
        </is>
      </c>
      <c r="F103" s="165" t="n">
        <v>1874</v>
      </c>
      <c r="G103" s="165" t="inlineStr">
        <is>
          <t>generated</t>
        </is>
      </c>
      <c r="H103" s="165" t="inlineStr">
        <is>
          <t>84bab9d971f27872f3cb1dd3874ea5da2e6033854a8c4bc58588ccd0234d9902</t>
        </is>
      </c>
      <c r="I103" s="165" t="inlineStr">
        <is>
          <t>VERIFIED</t>
        </is>
      </c>
      <c r="J103" s="166" t="inlineStr">
        <is>
          <t>https://service.tesla.com/docs/Model3/ElectricalReference/prog-333/interactive/json/connector_reference_export.json</t>
        </is>
      </c>
    </row>
    <row r="104">
      <c r="A104" s="15" t="n">
        <v>103</v>
      </c>
      <c r="B104" s="165" t="inlineStr">
        <is>
          <t>X981F</t>
        </is>
      </c>
      <c r="C104" s="165" t="inlineStr">
        <is>
          <t>connector metadata extracted from connector reference</t>
        </is>
      </c>
      <c r="D104" s="165" t="inlineStr">
        <is>
          <t>connectors/X981F/metadata.json</t>
        </is>
      </c>
      <c r="E104" s="165" t="inlineStr">
        <is>
          <t>application/json</t>
        </is>
      </c>
      <c r="F104" s="165" t="n">
        <v>3248</v>
      </c>
      <c r="G104" s="165" t="inlineStr">
        <is>
          <t>generated</t>
        </is>
      </c>
      <c r="H104" s="165" t="inlineStr">
        <is>
          <t>4281577fb147d14aa135fbc2968a2ee0da6f076751b74d2e96143d8799fc7e5d</t>
        </is>
      </c>
      <c r="I104" s="165" t="inlineStr">
        <is>
          <t>VERIFIED</t>
        </is>
      </c>
      <c r="J104" s="166" t="inlineStr">
        <is>
          <t>https://service.tesla.com/docs/Model3/ElectricalReference/prog-333/interactive/json/connector_reference_export.json</t>
        </is>
      </c>
    </row>
    <row r="105">
      <c r="A105" s="15" t="n">
        <v>104</v>
      </c>
      <c r="B105" s="165" t="inlineStr">
        <is>
          <t>X981M</t>
        </is>
      </c>
      <c r="C105" s="165" t="inlineStr">
        <is>
          <t>connector metadata extracted from connector reference</t>
        </is>
      </c>
      <c r="D105" s="165" t="inlineStr">
        <is>
          <t>connectors/X981M/metadata.json</t>
        </is>
      </c>
      <c r="E105" s="165" t="inlineStr">
        <is>
          <t>application/json</t>
        </is>
      </c>
      <c r="F105" s="165" t="n">
        <v>3010</v>
      </c>
      <c r="G105" s="165" t="inlineStr">
        <is>
          <t>generated</t>
        </is>
      </c>
      <c r="H105" s="165" t="inlineStr">
        <is>
          <t>9f7e386400b008582147f1008239c1566c010292c2eec22042de5c6345e6ee0c</t>
        </is>
      </c>
      <c r="I105" s="165" t="inlineStr">
        <is>
          <t>VERIFIED</t>
        </is>
      </c>
      <c r="J105" s="166" t="inlineStr">
        <is>
          <t>https://service.tesla.com/docs/Model3/ElectricalReference/prog-333/interactive/json/connector_reference_export.json</t>
        </is>
      </c>
    </row>
    <row r="106">
      <c r="A106" s="15" t="n">
        <v>105</v>
      </c>
      <c r="B106" s="165" t="inlineStr">
        <is>
          <t>X030B</t>
        </is>
      </c>
      <c r="C106" s="165" t="inlineStr">
        <is>
          <t>connector location image</t>
        </is>
      </c>
      <c r="D106" s="165" t="inlineStr">
        <is>
          <t>connectors/X030B/location.jpg</t>
        </is>
      </c>
      <c r="E106" s="165" t="inlineStr">
        <is>
          <t>image/jpeg</t>
        </is>
      </c>
      <c r="F106" s="165" t="n">
        <v>392754</v>
      </c>
      <c r="G106" s="165" t="n">
        <v>200</v>
      </c>
      <c r="H106" s="165" t="inlineStr">
        <is>
          <t>ed82202a5d9f7e7a3b867d80c6e42b806d10ec061e39aeb3f01ca40c94cbbcb2</t>
        </is>
      </c>
      <c r="I106" s="165" t="inlineStr">
        <is>
          <t>VERIFIED</t>
        </is>
      </c>
      <c r="J106" s="166" t="inlineStr">
        <is>
          <t>https://service.tesla.com/docs/Model3/ElectricalReference/prog-333/locations/X030B.jpg</t>
        </is>
      </c>
    </row>
    <row r="107">
      <c r="A107" s="15" t="n">
        <v>106</v>
      </c>
      <c r="B107" s="165" t="inlineStr">
        <is>
          <t>X032</t>
        </is>
      </c>
      <c r="C107" s="165" t="inlineStr">
        <is>
          <t>connector location image</t>
        </is>
      </c>
      <c r="D107" s="165" t="inlineStr">
        <is>
          <t>connectors/X032/location.jpg</t>
        </is>
      </c>
      <c r="E107" s="165" t="inlineStr">
        <is>
          <t>image/jpeg</t>
        </is>
      </c>
      <c r="F107" s="165" t="n">
        <v>362464</v>
      </c>
      <c r="G107" s="165" t="n">
        <v>200</v>
      </c>
      <c r="H107" s="165" t="inlineStr">
        <is>
          <t>6c91adad9733e048b41640ab1655f805e9c1bfd3c7202bbf08124a0e8b374f6e</t>
        </is>
      </c>
      <c r="I107" s="165" t="inlineStr">
        <is>
          <t>VERIFIED</t>
        </is>
      </c>
      <c r="J107" s="166" t="inlineStr">
        <is>
          <t>https://service.tesla.com/docs/Model3/ElectricalReference/prog-333/locations/X032.jpg</t>
        </is>
      </c>
    </row>
    <row r="108">
      <c r="A108" s="15" t="n">
        <v>107</v>
      </c>
      <c r="B108" s="165" t="inlineStr">
        <is>
          <t>X031</t>
        </is>
      </c>
      <c r="C108" s="165" t="inlineStr">
        <is>
          <t>connector location image</t>
        </is>
      </c>
      <c r="D108" s="165" t="inlineStr">
        <is>
          <t>connectors/X031/location.jpg</t>
        </is>
      </c>
      <c r="E108" s="165" t="inlineStr">
        <is>
          <t>image/jpeg</t>
        </is>
      </c>
      <c r="F108" s="165" t="n">
        <v>393083</v>
      </c>
      <c r="G108" s="165" t="n">
        <v>200</v>
      </c>
      <c r="H108" s="165" t="inlineStr">
        <is>
          <t>a68f7674b137374af93808e15e4c471216b65d401a79818a91dc05147fa16279</t>
        </is>
      </c>
      <c r="I108" s="165" t="inlineStr">
        <is>
          <t>VERIFIED</t>
        </is>
      </c>
      <c r="J108" s="166" t="inlineStr">
        <is>
          <t>https://service.tesla.com/docs/Model3/ElectricalReference/prog-333/locations/X031.jpg</t>
        </is>
      </c>
    </row>
    <row r="109">
      <c r="A109" s="15" t="n">
        <v>108</v>
      </c>
      <c r="B109" s="165" t="inlineStr">
        <is>
          <t>X030A</t>
        </is>
      </c>
      <c r="C109" s="165" t="inlineStr">
        <is>
          <t>connector location image</t>
        </is>
      </c>
      <c r="D109" s="165" t="inlineStr">
        <is>
          <t>connectors/X030A/location.jpg</t>
        </is>
      </c>
      <c r="E109" s="165" t="inlineStr">
        <is>
          <t>image/jpeg</t>
        </is>
      </c>
      <c r="F109" s="165" t="n">
        <v>392754</v>
      </c>
      <c r="G109" s="165" t="n">
        <v>200</v>
      </c>
      <c r="H109" s="165" t="inlineStr">
        <is>
          <t>04b29783647985c512fd9bf179cccd8c04c428d72fc0fc77e1a26ca0f3ed57e1</t>
        </is>
      </c>
      <c r="I109" s="165" t="inlineStr">
        <is>
          <t>VERIFIED</t>
        </is>
      </c>
      <c r="J109" s="166" t="inlineStr">
        <is>
          <t>https://service.tesla.com/docs/Model3/ElectricalReference/prog-333/locations/X030A.jpg</t>
        </is>
      </c>
    </row>
    <row r="110">
      <c r="A110" s="15" t="n">
        <v>109</v>
      </c>
      <c r="B110" s="165" t="inlineStr">
        <is>
          <t>X033A</t>
        </is>
      </c>
      <c r="C110" s="165" t="inlineStr">
        <is>
          <t>connector location image</t>
        </is>
      </c>
      <c r="D110" s="165" t="inlineStr">
        <is>
          <t>connectors/X033A/location.jpg</t>
        </is>
      </c>
      <c r="E110" s="165" t="inlineStr">
        <is>
          <t>image/jpeg</t>
        </is>
      </c>
      <c r="F110" s="165" t="n">
        <v>377283</v>
      </c>
      <c r="G110" s="165" t="n">
        <v>200</v>
      </c>
      <c r="H110" s="165" t="inlineStr">
        <is>
          <t>badffcc6f704132b123964ea0723a7d41e858706c9c9018c0435d138610e8427</t>
        </is>
      </c>
      <c r="I110" s="165" t="inlineStr">
        <is>
          <t>VERIFIED</t>
        </is>
      </c>
      <c r="J110" s="166" t="inlineStr">
        <is>
          <t>https://service.tesla.com/docs/Model3/ElectricalReference/prog-333/locations/X033A.jpg</t>
        </is>
      </c>
    </row>
    <row r="111">
      <c r="A111" s="15" t="n">
        <v>110</v>
      </c>
      <c r="B111" s="165" t="inlineStr">
        <is>
          <t>X033B</t>
        </is>
      </c>
      <c r="C111" s="165" t="inlineStr">
        <is>
          <t>connector location image</t>
        </is>
      </c>
      <c r="D111" s="165" t="inlineStr">
        <is>
          <t>connectors/X033B/location.jpg</t>
        </is>
      </c>
      <c r="E111" s="165" t="inlineStr">
        <is>
          <t>image/jpeg</t>
        </is>
      </c>
      <c r="F111" s="165" t="n">
        <v>377283</v>
      </c>
      <c r="G111" s="165" t="n">
        <v>200</v>
      </c>
      <c r="H111" s="165" t="inlineStr">
        <is>
          <t>f8d60cb3e00df1442cbb2467934fdf4454971fd4c6a12f0feb2cc5aa36c5eed7</t>
        </is>
      </c>
      <c r="I111" s="165" t="inlineStr">
        <is>
          <t>VERIFIED</t>
        </is>
      </c>
      <c r="J111" s="166" t="inlineStr">
        <is>
          <t>https://service.tesla.com/docs/Model3/ElectricalReference/prog-333/locations/X033B.jpg</t>
        </is>
      </c>
    </row>
    <row r="112">
      <c r="A112" s="15" t="n">
        <v>111</v>
      </c>
      <c r="B112" s="165" t="inlineStr">
        <is>
          <t>X010</t>
        </is>
      </c>
      <c r="C112" s="165" t="inlineStr">
        <is>
          <t>connector location image</t>
        </is>
      </c>
      <c r="D112" s="165" t="inlineStr">
        <is>
          <t>connectors/X010/location.jpg</t>
        </is>
      </c>
      <c r="E112" s="165" t="inlineStr">
        <is>
          <t>image/jpeg</t>
        </is>
      </c>
      <c r="F112" s="165" t="n">
        <v>441659</v>
      </c>
      <c r="G112" s="165" t="n">
        <v>200</v>
      </c>
      <c r="H112" s="165" t="inlineStr">
        <is>
          <t>b5aa132c0bdf0202ff0d2e473c09542bba049c25ce0ce27bbd6e2a6cb2c99ea5</t>
        </is>
      </c>
      <c r="I112" s="165" t="inlineStr">
        <is>
          <t>VERIFIED</t>
        </is>
      </c>
      <c r="J112" s="166" t="inlineStr">
        <is>
          <t>https://service.tesla.com/docs/Model3/ElectricalReference/prog-333/locations/X010.jpg</t>
        </is>
      </c>
    </row>
    <row r="113">
      <c r="A113" s="15" t="n">
        <v>112</v>
      </c>
      <c r="B113" s="165" t="inlineStr">
        <is>
          <t>X035</t>
        </is>
      </c>
      <c r="C113" s="165" t="inlineStr">
        <is>
          <t>connector location image</t>
        </is>
      </c>
      <c r="D113" s="165" t="inlineStr">
        <is>
          <t>connectors/X035/location.jpg</t>
        </is>
      </c>
      <c r="E113" s="165" t="inlineStr">
        <is>
          <t>image/jpeg</t>
        </is>
      </c>
      <c r="F113" s="165" t="n">
        <v>583065</v>
      </c>
      <c r="G113" s="165" t="n">
        <v>200</v>
      </c>
      <c r="H113" s="165" t="inlineStr">
        <is>
          <t>a47e0df0ea019ef53688d7b9853cec8b564f164d42cc4b7a0ba3cdefbd8332f5</t>
        </is>
      </c>
      <c r="I113" s="165" t="inlineStr">
        <is>
          <t>VERIFIED</t>
        </is>
      </c>
      <c r="J113" s="166" t="inlineStr">
        <is>
          <t>https://service.tesla.com/docs/Model3/ElectricalReference/prog-333/locations/X035.jpg</t>
        </is>
      </c>
    </row>
    <row r="114">
      <c r="A114" s="15" t="n">
        <v>113</v>
      </c>
      <c r="B114" s="165" t="inlineStr">
        <is>
          <t>X037</t>
        </is>
      </c>
      <c r="C114" s="165" t="inlineStr">
        <is>
          <t>connector location image</t>
        </is>
      </c>
      <c r="D114" s="165" t="inlineStr">
        <is>
          <t>connectors/X037/location.jpg</t>
        </is>
      </c>
      <c r="E114" s="165" t="inlineStr">
        <is>
          <t>image/jpeg</t>
        </is>
      </c>
      <c r="F114" s="165" t="n">
        <v>332991</v>
      </c>
      <c r="G114" s="165" t="n">
        <v>200</v>
      </c>
      <c r="H114" s="165" t="inlineStr">
        <is>
          <t>5b55575c57895caf866660dd0bd48ced85f62ac03965518e9d10b25c16708242</t>
        </is>
      </c>
      <c r="I114" s="165" t="inlineStr">
        <is>
          <t>VERIFIED</t>
        </is>
      </c>
      <c r="J114" s="166" t="inlineStr">
        <is>
          <t>https://service.tesla.com/docs/Model3/ElectricalReference/prog-333/locations/X037.jpg</t>
        </is>
      </c>
    </row>
    <row r="115">
      <c r="A115" s="15" t="n">
        <v>114</v>
      </c>
      <c r="B115" s="165" t="inlineStr">
        <is>
          <t>X038</t>
        </is>
      </c>
      <c r="C115" s="165" t="inlineStr">
        <is>
          <t>connector location image</t>
        </is>
      </c>
      <c r="D115" s="165" t="inlineStr">
        <is>
          <t>connectors/X038/location.jpg</t>
        </is>
      </c>
      <c r="E115" s="165" t="inlineStr">
        <is>
          <t>image/jpeg</t>
        </is>
      </c>
      <c r="F115" s="165" t="n">
        <v>448149</v>
      </c>
      <c r="G115" s="165" t="n">
        <v>200</v>
      </c>
      <c r="H115" s="165" t="inlineStr">
        <is>
          <t>f0dee5e4f4eda4c0e7fe6cfb83dfac27cf62377eaf52156805fd8b5abe49fee0</t>
        </is>
      </c>
      <c r="I115" s="165" t="inlineStr">
        <is>
          <t>VERIFIED</t>
        </is>
      </c>
      <c r="J115" s="166" t="inlineStr">
        <is>
          <t>https://service.tesla.com/docs/Model3/ElectricalReference/prog-333/locations/X038.jpg</t>
        </is>
      </c>
    </row>
    <row r="116">
      <c r="A116" s="15" t="n">
        <v>115</v>
      </c>
      <c r="B116" s="165" t="inlineStr">
        <is>
          <t>X050A</t>
        </is>
      </c>
      <c r="C116" s="165" t="inlineStr">
        <is>
          <t>connector location image</t>
        </is>
      </c>
      <c r="D116" s="165" t="inlineStr">
        <is>
          <t>connectors/X050A/location.jpg</t>
        </is>
      </c>
      <c r="E116" s="165" t="inlineStr">
        <is>
          <t>image/jpeg</t>
        </is>
      </c>
      <c r="F116" s="165" t="n">
        <v>646674</v>
      </c>
      <c r="G116" s="165" t="n">
        <v>200</v>
      </c>
      <c r="H116" s="165" t="inlineStr">
        <is>
          <t>74628e3057fee4577ab735e7095e79c288f34cb381244e485bb7eb6e89de385a</t>
        </is>
      </c>
      <c r="I116" s="165" t="inlineStr">
        <is>
          <t>VERIFIED</t>
        </is>
      </c>
      <c r="J116" s="166" t="inlineStr">
        <is>
          <t>https://service.tesla.com/docs/Model3/ElectricalReference/prog-333/locations/X050A.jpg</t>
        </is>
      </c>
    </row>
    <row r="117">
      <c r="A117" s="15" t="n">
        <v>116</v>
      </c>
      <c r="B117" s="165" t="inlineStr">
        <is>
          <t>X039</t>
        </is>
      </c>
      <c r="C117" s="165" t="inlineStr">
        <is>
          <t>connector location image</t>
        </is>
      </c>
      <c r="D117" s="165" t="inlineStr">
        <is>
          <t>connectors/X039/location.jpg</t>
        </is>
      </c>
      <c r="E117" s="165" t="inlineStr">
        <is>
          <t>image/jpeg</t>
        </is>
      </c>
      <c r="F117" s="165" t="n">
        <v>479216</v>
      </c>
      <c r="G117" s="165" t="n">
        <v>200</v>
      </c>
      <c r="H117" s="165" t="inlineStr">
        <is>
          <t>6c99fce8a4f6fcc9f8cf85556b88eb63a53add886155c88d2e48711be24aa2b9</t>
        </is>
      </c>
      <c r="I117" s="165" t="inlineStr">
        <is>
          <t>VERIFIED</t>
        </is>
      </c>
      <c r="J117" s="166" t="inlineStr">
        <is>
          <t>https://service.tesla.com/docs/Model3/ElectricalReference/prog-333/locations/X039.jpg</t>
        </is>
      </c>
    </row>
    <row r="118">
      <c r="A118" s="15" t="n">
        <v>117</v>
      </c>
      <c r="B118" s="165" t="inlineStr">
        <is>
          <t>X051</t>
        </is>
      </c>
      <c r="C118" s="165" t="inlineStr">
        <is>
          <t>connector location image</t>
        </is>
      </c>
      <c r="D118" s="165" t="inlineStr">
        <is>
          <t>connectors/X051/location.jpg</t>
        </is>
      </c>
      <c r="E118" s="165" t="inlineStr">
        <is>
          <t>image/jpeg</t>
        </is>
      </c>
      <c r="F118" s="165" t="n">
        <v>311389</v>
      </c>
      <c r="G118" s="165" t="n">
        <v>200</v>
      </c>
      <c r="H118" s="165" t="inlineStr">
        <is>
          <t>62ae1168e894f8964ec71460bf21991531442df171c58dd224f2854dacd2cf12</t>
        </is>
      </c>
      <c r="I118" s="165" t="inlineStr">
        <is>
          <t>VERIFIED</t>
        </is>
      </c>
      <c r="J118" s="166" t="inlineStr">
        <is>
          <t>https://service.tesla.com/docs/Model3/ElectricalReference/prog-333/locations/X051.jpg</t>
        </is>
      </c>
    </row>
    <row r="119">
      <c r="A119" s="15" t="n">
        <v>118</v>
      </c>
      <c r="B119" s="165" t="inlineStr">
        <is>
          <t>X050</t>
        </is>
      </c>
      <c r="C119" s="165" t="inlineStr">
        <is>
          <t>connector location image</t>
        </is>
      </c>
      <c r="D119" s="165" t="inlineStr">
        <is>
          <t>connectors/X050/location.jpg</t>
        </is>
      </c>
      <c r="E119" s="165" t="inlineStr">
        <is>
          <t>image/jpeg</t>
        </is>
      </c>
      <c r="F119" s="165" t="n">
        <v>646674</v>
      </c>
      <c r="G119" s="165" t="n">
        <v>200</v>
      </c>
      <c r="H119" s="165" t="inlineStr">
        <is>
          <t>d9dbcce9f9b740ffd28182da8fd0ea438c18c4beefbd9a9a01c55a83b13cdb20</t>
        </is>
      </c>
      <c r="I119" s="165" t="inlineStr">
        <is>
          <t>VERIFIED</t>
        </is>
      </c>
      <c r="J119" s="166" t="inlineStr">
        <is>
          <t>https://service.tesla.com/docs/Model3/ElectricalReference/prog-333/locations/X050.jpg</t>
        </is>
      </c>
    </row>
    <row r="120">
      <c r="A120" s="15" t="n">
        <v>119</v>
      </c>
      <c r="B120" s="165" t="inlineStr">
        <is>
          <t>X050B</t>
        </is>
      </c>
      <c r="C120" s="165" t="inlineStr">
        <is>
          <t>connector location image</t>
        </is>
      </c>
      <c r="D120" s="165" t="inlineStr">
        <is>
          <t>connectors/X050B/location.jpg</t>
        </is>
      </c>
      <c r="E120" s="165" t="inlineStr">
        <is>
          <t>image/jpeg</t>
        </is>
      </c>
      <c r="F120" s="165" t="n">
        <v>432012</v>
      </c>
      <c r="G120" s="165" t="n">
        <v>200</v>
      </c>
      <c r="H120" s="165" t="inlineStr">
        <is>
          <t>c675dfcd68cd6d7ec960141c7150bfb5e4ee298b23ba558a189b89c76b8aac55</t>
        </is>
      </c>
      <c r="I120" s="165" t="inlineStr">
        <is>
          <t>VERIFIED</t>
        </is>
      </c>
      <c r="J120" s="166" t="inlineStr">
        <is>
          <t>https://service.tesla.com/docs/Model3/ElectricalReference/prog-333/locations/X050B.jpg</t>
        </is>
      </c>
    </row>
    <row r="121">
      <c r="A121" s="15" t="n">
        <v>120</v>
      </c>
      <c r="B121" s="165" t="inlineStr">
        <is>
          <t>X053B</t>
        </is>
      </c>
      <c r="C121" s="165" t="inlineStr">
        <is>
          <t>connector location image</t>
        </is>
      </c>
      <c r="D121" s="165" t="inlineStr">
        <is>
          <t>connectors/X053B/location.jpg</t>
        </is>
      </c>
      <c r="E121" s="165" t="inlineStr">
        <is>
          <t>image/jpeg</t>
        </is>
      </c>
      <c r="F121" s="165" t="n">
        <v>386394</v>
      </c>
      <c r="G121" s="165" t="n">
        <v>200</v>
      </c>
      <c r="H121" s="165" t="inlineStr">
        <is>
          <t>27e8f445ace31740d1acfd432ac601ab4f1aa6762e26f18c12733140e3d9508a</t>
        </is>
      </c>
      <c r="I121" s="165" t="inlineStr">
        <is>
          <t>VERIFIED</t>
        </is>
      </c>
      <c r="J121" s="166" t="inlineStr">
        <is>
          <t>https://service.tesla.com/docs/Model3/ElectricalReference/prog-333/locations/X053B.jpg</t>
        </is>
      </c>
    </row>
    <row r="122">
      <c r="A122" s="15" t="n">
        <v>121</v>
      </c>
      <c r="B122" s="165" t="inlineStr">
        <is>
          <t>X053A</t>
        </is>
      </c>
      <c r="C122" s="165" t="inlineStr">
        <is>
          <t>connector location image</t>
        </is>
      </c>
      <c r="D122" s="165" t="inlineStr">
        <is>
          <t>connectors/X053A/location.jpg</t>
        </is>
      </c>
      <c r="E122" s="165" t="inlineStr">
        <is>
          <t>image/jpeg</t>
        </is>
      </c>
      <c r="F122" s="165" t="n">
        <v>628010</v>
      </c>
      <c r="G122" s="165" t="n">
        <v>200</v>
      </c>
      <c r="H122" s="165" t="inlineStr">
        <is>
          <t>4730eb4b9542baafe143749fa1a6e0146b7f521f80c4d8d7017d76348ac22a97</t>
        </is>
      </c>
      <c r="I122" s="165" t="inlineStr">
        <is>
          <t>VERIFIED</t>
        </is>
      </c>
      <c r="J122" s="166" t="inlineStr">
        <is>
          <t>https://service.tesla.com/docs/Model3/ElectricalReference/prog-333/locations/X053A.jpg</t>
        </is>
      </c>
    </row>
    <row r="123">
      <c r="A123" s="15" t="n">
        <v>122</v>
      </c>
      <c r="B123" s="165" t="inlineStr">
        <is>
          <t>X056</t>
        </is>
      </c>
      <c r="C123" s="165" t="inlineStr">
        <is>
          <t>connector location image</t>
        </is>
      </c>
      <c r="D123" s="165" t="inlineStr">
        <is>
          <t>connectors/X056/location.jpg</t>
        </is>
      </c>
      <c r="E123" s="165" t="inlineStr">
        <is>
          <t>image/jpeg</t>
        </is>
      </c>
      <c r="F123" s="165" t="n">
        <v>388007</v>
      </c>
      <c r="G123" s="165" t="n">
        <v>200</v>
      </c>
      <c r="H123" s="165" t="inlineStr">
        <is>
          <t>c3792b1738753152bc407cc4d90abfe1c99d123b61fd6cda0b6f230ea0afff28</t>
        </is>
      </c>
      <c r="I123" s="165" t="inlineStr">
        <is>
          <t>VERIFIED</t>
        </is>
      </c>
      <c r="J123" s="166" t="inlineStr">
        <is>
          <t>https://service.tesla.com/docs/Model3/ElectricalReference/prog-333/locations/X056.jpg</t>
        </is>
      </c>
    </row>
    <row r="124">
      <c r="A124" s="15" t="n">
        <v>123</v>
      </c>
      <c r="B124" s="165" t="inlineStr">
        <is>
          <t>X058</t>
        </is>
      </c>
      <c r="C124" s="165" t="inlineStr">
        <is>
          <t>connector location image</t>
        </is>
      </c>
      <c r="D124" s="165" t="inlineStr">
        <is>
          <t>connectors/X058/location.jpg</t>
        </is>
      </c>
      <c r="E124" s="165" t="inlineStr">
        <is>
          <t>image/jpeg</t>
        </is>
      </c>
      <c r="F124" s="165" t="n">
        <v>426062</v>
      </c>
      <c r="G124" s="165" t="n">
        <v>200</v>
      </c>
      <c r="H124" s="165" t="inlineStr">
        <is>
          <t>94e5a00456ba0e2e7bad448a9c403e265e202f6e3b1ff9cb8df0e3a26a5681d0</t>
        </is>
      </c>
      <c r="I124" s="165" t="inlineStr">
        <is>
          <t>VERIFIED</t>
        </is>
      </c>
      <c r="J124" s="166" t="inlineStr">
        <is>
          <t>https://service.tesla.com/docs/Model3/ElectricalReference/prog-333/locations/X058.jpg</t>
        </is>
      </c>
    </row>
    <row r="125">
      <c r="A125" s="15" t="n">
        <v>124</v>
      </c>
      <c r="B125" s="165" t="inlineStr">
        <is>
          <t>X055</t>
        </is>
      </c>
      <c r="C125" s="165" t="inlineStr">
        <is>
          <t>connector location image</t>
        </is>
      </c>
      <c r="D125" s="165" t="inlineStr">
        <is>
          <t>connectors/X055/location.jpg</t>
        </is>
      </c>
      <c r="E125" s="165" t="inlineStr">
        <is>
          <t>image/jpeg</t>
        </is>
      </c>
      <c r="F125" s="165" t="n">
        <v>238358</v>
      </c>
      <c r="G125" s="165" t="n">
        <v>200</v>
      </c>
      <c r="H125" s="165" t="inlineStr">
        <is>
          <t>9e108c5483c0a2072e16630104499f48db852a5e68fdcd176d04d81eb018178d</t>
        </is>
      </c>
      <c r="I125" s="165" t="inlineStr">
        <is>
          <t>VERIFIED</t>
        </is>
      </c>
      <c r="J125" s="166" t="inlineStr">
        <is>
          <t>https://service.tesla.com/docs/Model3/ElectricalReference/prog-333/locations/X055.jpg</t>
        </is>
      </c>
    </row>
    <row r="126">
      <c r="A126" s="15" t="n">
        <v>125</v>
      </c>
      <c r="B126" s="165" t="inlineStr">
        <is>
          <t>X120</t>
        </is>
      </c>
      <c r="C126" s="165" t="inlineStr">
        <is>
          <t>connector location image</t>
        </is>
      </c>
      <c r="D126" s="165" t="inlineStr">
        <is>
          <t>connectors/X120/location.jpg</t>
        </is>
      </c>
      <c r="E126" s="165" t="inlineStr">
        <is>
          <t>image/jpeg</t>
        </is>
      </c>
      <c r="F126" s="165" t="n">
        <v>323740</v>
      </c>
      <c r="G126" s="165" t="n">
        <v>200</v>
      </c>
      <c r="H126" s="165" t="inlineStr">
        <is>
          <t>493b613b5f76bec755d0e71f47ca7679343d387af4feced3d2da1b9c50f1130e</t>
        </is>
      </c>
      <c r="I126" s="165" t="inlineStr">
        <is>
          <t>VERIFIED</t>
        </is>
      </c>
      <c r="J126" s="166" t="inlineStr">
        <is>
          <t>https://service.tesla.com/docs/Model3/ElectricalReference/prog-333/locations/X120.jpg</t>
        </is>
      </c>
    </row>
    <row r="127">
      <c r="A127" s="15" t="n">
        <v>126</v>
      </c>
      <c r="B127" s="165" t="inlineStr">
        <is>
          <t>X120A</t>
        </is>
      </c>
      <c r="C127" s="165" t="inlineStr">
        <is>
          <t>connector location image</t>
        </is>
      </c>
      <c r="D127" s="165" t="inlineStr">
        <is>
          <t>connectors/X120A/location.jpg</t>
        </is>
      </c>
      <c r="E127" s="165" t="inlineStr">
        <is>
          <t>image/jpeg</t>
        </is>
      </c>
      <c r="F127" s="165" t="n">
        <v>319858</v>
      </c>
      <c r="G127" s="165" t="n">
        <v>200</v>
      </c>
      <c r="H127" s="165" t="inlineStr">
        <is>
          <t>ba59c6fc02eb4b6e620083ab865d5376cdec01122808ec41023395505b8c7c95</t>
        </is>
      </c>
      <c r="I127" s="165" t="inlineStr">
        <is>
          <t>VERIFIED</t>
        </is>
      </c>
      <c r="J127" s="166" t="inlineStr">
        <is>
          <t>https://service.tesla.com/docs/Model3/ElectricalReference/prog-333/locations/X120A.jpg</t>
        </is>
      </c>
    </row>
    <row r="128">
      <c r="A128" s="15" t="n">
        <v>127</v>
      </c>
      <c r="B128" s="165" t="inlineStr">
        <is>
          <t>X059</t>
        </is>
      </c>
      <c r="C128" s="165" t="inlineStr">
        <is>
          <t>connector location image</t>
        </is>
      </c>
      <c r="D128" s="165" t="inlineStr">
        <is>
          <t>connectors/X059/location.jpg</t>
        </is>
      </c>
      <c r="E128" s="165" t="inlineStr">
        <is>
          <t>image/jpeg</t>
        </is>
      </c>
      <c r="F128" s="165" t="n">
        <v>645773</v>
      </c>
      <c r="G128" s="165" t="n">
        <v>200</v>
      </c>
      <c r="H128" s="165" t="inlineStr">
        <is>
          <t>53defade24ad866a6480d48daa1534aa9e96583d4ca71ad62ca969fd0b7112ae</t>
        </is>
      </c>
      <c r="I128" s="165" t="inlineStr">
        <is>
          <t>VERIFIED</t>
        </is>
      </c>
      <c r="J128" s="166" t="inlineStr">
        <is>
          <t>https://service.tesla.com/docs/Model3/ElectricalReference/prog-333/locations/X059.jpg</t>
        </is>
      </c>
    </row>
    <row r="129">
      <c r="A129" s="15" t="n">
        <v>128</v>
      </c>
      <c r="B129" s="165" t="inlineStr">
        <is>
          <t>X060</t>
        </is>
      </c>
      <c r="C129" s="165" t="inlineStr">
        <is>
          <t>connector location image</t>
        </is>
      </c>
      <c r="D129" s="165" t="inlineStr">
        <is>
          <t>connectors/X060/location.jpg</t>
        </is>
      </c>
      <c r="E129" s="165" t="inlineStr">
        <is>
          <t>image/jpeg</t>
        </is>
      </c>
      <c r="F129" s="165" t="n">
        <v>629653</v>
      </c>
      <c r="G129" s="165" t="n">
        <v>200</v>
      </c>
      <c r="H129" s="165" t="inlineStr">
        <is>
          <t>6a3e52a31379edd004b57bc382293e6d5627b6e47a4fefbfe334fc6a2cb1a1c5</t>
        </is>
      </c>
      <c r="I129" s="165" t="inlineStr">
        <is>
          <t>VERIFIED</t>
        </is>
      </c>
      <c r="J129" s="166" t="inlineStr">
        <is>
          <t>https://service.tesla.com/docs/Model3/ElectricalReference/prog-333/locations/X060.jpg</t>
        </is>
      </c>
    </row>
    <row r="130">
      <c r="A130" s="15" t="n">
        <v>129</v>
      </c>
      <c r="B130" s="165" t="inlineStr">
        <is>
          <t>X155A</t>
        </is>
      </c>
      <c r="C130" s="165" t="inlineStr">
        <is>
          <t>connector location image</t>
        </is>
      </c>
      <c r="D130" s="165" t="inlineStr">
        <is>
          <t>connectors/X155A/location.jpg</t>
        </is>
      </c>
      <c r="E130" s="165" t="inlineStr">
        <is>
          <t>image/jpeg</t>
        </is>
      </c>
      <c r="F130" s="165" t="n">
        <v>341633</v>
      </c>
      <c r="G130" s="165" t="n">
        <v>200</v>
      </c>
      <c r="H130" s="165" t="inlineStr">
        <is>
          <t>a58695f3ff2b81866ddd28c1166ad0a8bed058dd75414dffcfdf64d7d2e218bd</t>
        </is>
      </c>
      <c r="I130" s="165" t="inlineStr">
        <is>
          <t>VERIFIED</t>
        </is>
      </c>
      <c r="J130" s="166" t="inlineStr">
        <is>
          <t>https://service.tesla.com/docs/Model3/ElectricalReference/prog-333/locations/X155A.jpg</t>
        </is>
      </c>
    </row>
    <row r="131">
      <c r="A131" s="15" t="n">
        <v>130</v>
      </c>
      <c r="B131" s="165" t="inlineStr">
        <is>
          <t>X171</t>
        </is>
      </c>
      <c r="C131" s="165" t="inlineStr">
        <is>
          <t>connector location image</t>
        </is>
      </c>
      <c r="D131" s="165" t="inlineStr">
        <is>
          <t>connectors/X171/location.jpg</t>
        </is>
      </c>
      <c r="E131" s="165" t="inlineStr">
        <is>
          <t>image/jpeg</t>
        </is>
      </c>
      <c r="F131" s="165" t="n">
        <v>421067</v>
      </c>
      <c r="G131" s="165" t="n">
        <v>200</v>
      </c>
      <c r="H131" s="165" t="inlineStr">
        <is>
          <t>3a9915146ce57ad4c07e88f9c37100395db216555a62fda828418b3bc33368ad</t>
        </is>
      </c>
      <c r="I131" s="165" t="inlineStr">
        <is>
          <t>VERIFIED</t>
        </is>
      </c>
      <c r="J131" s="166" t="inlineStr">
        <is>
          <t>https://service.tesla.com/docs/Model3/ElectricalReference/prog-333/locations/X171.jpg</t>
        </is>
      </c>
    </row>
    <row r="132">
      <c r="A132" s="15" t="n">
        <v>131</v>
      </c>
      <c r="B132" s="165" t="inlineStr">
        <is>
          <t>X286</t>
        </is>
      </c>
      <c r="C132" s="165" t="inlineStr">
        <is>
          <t>connector location image</t>
        </is>
      </c>
      <c r="D132" s="165" t="inlineStr">
        <is>
          <t>connectors/X286/location.jpg</t>
        </is>
      </c>
      <c r="E132" s="165" t="inlineStr">
        <is>
          <t>image/jpeg</t>
        </is>
      </c>
      <c r="F132" s="165" t="n">
        <v>265021</v>
      </c>
      <c r="G132" s="165" t="n">
        <v>200</v>
      </c>
      <c r="H132" s="165" t="inlineStr">
        <is>
          <t>d0a78dcbbacfa6de2904e7082b8fad8470a6611b7ce89ebd04f59640b3abdc11</t>
        </is>
      </c>
      <c r="I132" s="165" t="inlineStr">
        <is>
          <t>VERIFIED</t>
        </is>
      </c>
      <c r="J132" s="166" t="inlineStr">
        <is>
          <t>https://service.tesla.com/docs/Model3/ElectricalReference/prog-333/locations/X286.jpg</t>
        </is>
      </c>
    </row>
    <row r="133">
      <c r="A133" s="15" t="n">
        <v>132</v>
      </c>
      <c r="B133" s="165" t="inlineStr">
        <is>
          <t>X171A</t>
        </is>
      </c>
      <c r="C133" s="165" t="inlineStr">
        <is>
          <t>connector location image</t>
        </is>
      </c>
      <c r="D133" s="165" t="inlineStr">
        <is>
          <t>connectors/X171A/location.jpg</t>
        </is>
      </c>
      <c r="E133" s="165" t="inlineStr">
        <is>
          <t>image/jpeg</t>
        </is>
      </c>
      <c r="F133" s="165" t="n">
        <v>376907</v>
      </c>
      <c r="G133" s="165" t="n">
        <v>200</v>
      </c>
      <c r="H133" s="165" t="inlineStr">
        <is>
          <t>b526c7cff1f521f812e452104425d050aeb86b489d7788798e9c017de204e77a</t>
        </is>
      </c>
      <c r="I133" s="165" t="inlineStr">
        <is>
          <t>VERIFIED</t>
        </is>
      </c>
      <c r="J133" s="166" t="inlineStr">
        <is>
          <t>https://service.tesla.com/docs/Model3/ElectricalReference/prog-333/locations/X171A.jpg</t>
        </is>
      </c>
    </row>
    <row r="134">
      <c r="A134" s="15" t="n">
        <v>133</v>
      </c>
      <c r="B134" s="165" t="inlineStr">
        <is>
          <t>X175</t>
        </is>
      </c>
      <c r="C134" s="165" t="inlineStr">
        <is>
          <t>connector location image</t>
        </is>
      </c>
      <c r="D134" s="165" t="inlineStr">
        <is>
          <t>connectors/X175/location.jpg</t>
        </is>
      </c>
      <c r="E134" s="165" t="inlineStr">
        <is>
          <t>image/jpeg</t>
        </is>
      </c>
      <c r="F134" s="165" t="n">
        <v>591533</v>
      </c>
      <c r="G134" s="165" t="n">
        <v>200</v>
      </c>
      <c r="H134" s="165" t="inlineStr">
        <is>
          <t>08f44e3d3adb1f5afc54e700a05f04df8dfabc14cd32b4db2179693234d3c6ac</t>
        </is>
      </c>
      <c r="I134" s="165" t="inlineStr">
        <is>
          <t>VERIFIED</t>
        </is>
      </c>
      <c r="J134" s="166" t="inlineStr">
        <is>
          <t>https://service.tesla.com/docs/Model3/ElectricalReference/prog-333/locations/X175.jpg</t>
        </is>
      </c>
    </row>
    <row r="135">
      <c r="A135" s="15" t="n">
        <v>134</v>
      </c>
      <c r="B135" s="165" t="inlineStr">
        <is>
          <t>X175A</t>
        </is>
      </c>
      <c r="C135" s="165" t="inlineStr">
        <is>
          <t>connector location image</t>
        </is>
      </c>
      <c r="D135" s="165" t="inlineStr">
        <is>
          <t>connectors/X175A/location.jpg</t>
        </is>
      </c>
      <c r="E135" s="165" t="inlineStr">
        <is>
          <t>image/jpeg</t>
        </is>
      </c>
      <c r="F135" s="165" t="n">
        <v>522547</v>
      </c>
      <c r="G135" s="165" t="n">
        <v>200</v>
      </c>
      <c r="H135" s="165" t="inlineStr">
        <is>
          <t>e8764e39b124cf099e0a037e9b75304297486fff78aad33cdcfb64c9e6014c49</t>
        </is>
      </c>
      <c r="I135" s="165" t="inlineStr">
        <is>
          <t>VERIFIED</t>
        </is>
      </c>
      <c r="J135" s="166" t="inlineStr">
        <is>
          <t>https://service.tesla.com/docs/Model3/ElectricalReference/prog-333/locations/X175A.jpg</t>
        </is>
      </c>
    </row>
    <row r="136">
      <c r="A136" s="15" t="n">
        <v>135</v>
      </c>
      <c r="B136" s="165" t="inlineStr">
        <is>
          <t>X274</t>
        </is>
      </c>
      <c r="C136" s="165" t="inlineStr">
        <is>
          <t>connector location image</t>
        </is>
      </c>
      <c r="D136" s="165" t="inlineStr">
        <is>
          <t>connectors/X274/location.jpg</t>
        </is>
      </c>
      <c r="E136" s="165" t="inlineStr">
        <is>
          <t>image/jpeg</t>
        </is>
      </c>
      <c r="F136" s="165" t="n">
        <v>347213</v>
      </c>
      <c r="G136" s="165" t="n">
        <v>200</v>
      </c>
      <c r="H136" s="165" t="inlineStr">
        <is>
          <t>5846db7d090c2049030ec49374005306031556c007f9d2da72b64c6410eae820</t>
        </is>
      </c>
      <c r="I136" s="165" t="inlineStr">
        <is>
          <t>VERIFIED</t>
        </is>
      </c>
      <c r="J136" s="166" t="inlineStr">
        <is>
          <t>https://service.tesla.com/docs/Model3/ElectricalReference/prog-333/locations/X274.jpg</t>
        </is>
      </c>
    </row>
    <row r="137">
      <c r="A137" s="15" t="n">
        <v>136</v>
      </c>
      <c r="B137" s="165" t="inlineStr">
        <is>
          <t>X287</t>
        </is>
      </c>
      <c r="C137" s="165" t="inlineStr">
        <is>
          <t>connector location image</t>
        </is>
      </c>
      <c r="D137" s="165" t="inlineStr">
        <is>
          <t>connectors/X287/location.jpg</t>
        </is>
      </c>
      <c r="E137" s="165" t="inlineStr">
        <is>
          <t>image/jpeg</t>
        </is>
      </c>
      <c r="F137" s="165" t="n">
        <v>265316</v>
      </c>
      <c r="G137" s="165" t="n">
        <v>200</v>
      </c>
      <c r="H137" s="165" t="inlineStr">
        <is>
          <t>5f8796ae015f718eb35a89bad6e6afd3fa0c0c71cf2f47659bff3ac89dbafa60</t>
        </is>
      </c>
      <c r="I137" s="165" t="inlineStr">
        <is>
          <t>VERIFIED</t>
        </is>
      </c>
      <c r="J137" s="166" t="inlineStr">
        <is>
          <t>https://service.tesla.com/docs/Model3/ElectricalReference/prog-333/locations/X287.jpg</t>
        </is>
      </c>
    </row>
    <row r="138">
      <c r="A138" s="15" t="n">
        <v>137</v>
      </c>
      <c r="B138" s="165" t="inlineStr">
        <is>
          <t>X299</t>
        </is>
      </c>
      <c r="C138" s="165" t="inlineStr">
        <is>
          <t>connector location image</t>
        </is>
      </c>
      <c r="D138" s="165" t="inlineStr">
        <is>
          <t>connectors/X299/location.jpg</t>
        </is>
      </c>
      <c r="E138" s="165" t="inlineStr">
        <is>
          <t>image/jpeg</t>
        </is>
      </c>
      <c r="F138" s="165" t="n">
        <v>265622</v>
      </c>
      <c r="G138" s="165" t="n">
        <v>200</v>
      </c>
      <c r="H138" s="165" t="inlineStr">
        <is>
          <t>24fe0ac539c6937cb92b4e4c87a1ec70bedd8cf438efed19b55b14bc671faf77</t>
        </is>
      </c>
      <c r="I138" s="165" t="inlineStr">
        <is>
          <t>VERIFIED</t>
        </is>
      </c>
      <c r="J138" s="166" t="inlineStr">
        <is>
          <t>https://service.tesla.com/docs/Model3/ElectricalReference/prog-333/locations/X299.jpg</t>
        </is>
      </c>
    </row>
    <row r="139">
      <c r="A139" s="15" t="n">
        <v>138</v>
      </c>
      <c r="B139" s="165" t="inlineStr">
        <is>
          <t>X290</t>
        </is>
      </c>
      <c r="C139" s="165" t="inlineStr">
        <is>
          <t>connector location image</t>
        </is>
      </c>
      <c r="D139" s="165" t="inlineStr">
        <is>
          <t>connectors/X290/location.jpg</t>
        </is>
      </c>
      <c r="E139" s="165" t="inlineStr">
        <is>
          <t>image/jpeg</t>
        </is>
      </c>
      <c r="F139" s="165" t="n">
        <v>362163</v>
      </c>
      <c r="G139" s="165" t="n">
        <v>200</v>
      </c>
      <c r="H139" s="165" t="inlineStr">
        <is>
          <t>c97633014f97759839e9c3106f8c987c2a87fcebe8a285d0f3eb29183c863482</t>
        </is>
      </c>
      <c r="I139" s="165" t="inlineStr">
        <is>
          <t>VERIFIED</t>
        </is>
      </c>
      <c r="J139" s="166" t="inlineStr">
        <is>
          <t>https://service.tesla.com/docs/Model3/ElectricalReference/prog-333/locations/X290.jpg</t>
        </is>
      </c>
    </row>
    <row r="140">
      <c r="A140" s="15" t="n">
        <v>139</v>
      </c>
      <c r="B140" s="165" t="inlineStr">
        <is>
          <t>X560</t>
        </is>
      </c>
      <c r="C140" s="165" t="inlineStr">
        <is>
          <t>connector location image</t>
        </is>
      </c>
      <c r="D140" s="165" t="inlineStr">
        <is>
          <t>connectors/X560/location.jpg</t>
        </is>
      </c>
      <c r="E140" s="165" t="inlineStr">
        <is>
          <t>image/jpeg</t>
        </is>
      </c>
      <c r="F140" s="165" t="n">
        <v>399667</v>
      </c>
      <c r="G140" s="165" t="n">
        <v>200</v>
      </c>
      <c r="H140" s="165" t="inlineStr">
        <is>
          <t>432a8339a4f98fd5b46144e5c060eecc662b2c584844e71a1cb5577cf35c018f</t>
        </is>
      </c>
      <c r="I140" s="165" t="inlineStr">
        <is>
          <t>VERIFIED</t>
        </is>
      </c>
      <c r="J140" s="166" t="inlineStr">
        <is>
          <t>https://service.tesla.com/docs/Model3/ElectricalReference/prog-333/locations/X560.jpg</t>
        </is>
      </c>
    </row>
    <row r="141">
      <c r="A141" s="15" t="n">
        <v>140</v>
      </c>
      <c r="B141" s="165" t="inlineStr">
        <is>
          <t>X289</t>
        </is>
      </c>
      <c r="C141" s="165" t="inlineStr">
        <is>
          <t>connector location image</t>
        </is>
      </c>
      <c r="D141" s="165" t="inlineStr">
        <is>
          <t>connectors/X289/location.jpg</t>
        </is>
      </c>
      <c r="E141" s="165" t="inlineStr">
        <is>
          <t>image/jpeg</t>
        </is>
      </c>
      <c r="F141" s="165" t="n">
        <v>361969</v>
      </c>
      <c r="G141" s="165" t="n">
        <v>200</v>
      </c>
      <c r="H141" s="165" t="inlineStr">
        <is>
          <t>74189069dcc6804d532826b2cb658801e5a77694b1d1440fe3dc04cba00f6a7a</t>
        </is>
      </c>
      <c r="I141" s="165" t="inlineStr">
        <is>
          <t>VERIFIED</t>
        </is>
      </c>
      <c r="J141" s="166" t="inlineStr">
        <is>
          <t>https://service.tesla.com/docs/Model3/ElectricalReference/prog-333/locations/X289.jpg</t>
        </is>
      </c>
    </row>
    <row r="142">
      <c r="A142" s="15" t="n">
        <v>141</v>
      </c>
      <c r="B142" s="165" t="inlineStr">
        <is>
          <t>X562</t>
        </is>
      </c>
      <c r="C142" s="165" t="inlineStr">
        <is>
          <t>connector location image</t>
        </is>
      </c>
      <c r="D142" s="165" t="inlineStr">
        <is>
          <t>connectors/X562/location.jpg</t>
        </is>
      </c>
      <c r="E142" s="165" t="inlineStr">
        <is>
          <t>image/jpeg</t>
        </is>
      </c>
      <c r="F142" s="165" t="n">
        <v>365123</v>
      </c>
      <c r="G142" s="165" t="n">
        <v>200</v>
      </c>
      <c r="H142" s="165" t="inlineStr">
        <is>
          <t>639deadab1a2cca831a0da6778abae10329a0b816d25e1ba3a18463f4c61550a</t>
        </is>
      </c>
      <c r="I142" s="165" t="inlineStr">
        <is>
          <t>VERIFIED</t>
        </is>
      </c>
      <c r="J142" s="166" t="inlineStr">
        <is>
          <t>https://service.tesla.com/docs/Model3/ElectricalReference/prog-333/locations/X562.jpg</t>
        </is>
      </c>
    </row>
    <row r="143">
      <c r="A143" s="15" t="n">
        <v>142</v>
      </c>
      <c r="B143" s="165" t="inlineStr">
        <is>
          <t>X561</t>
        </is>
      </c>
      <c r="C143" s="165" t="inlineStr">
        <is>
          <t>connector location image</t>
        </is>
      </c>
      <c r="D143" s="165" t="inlineStr">
        <is>
          <t>connectors/X561/location.jpg</t>
        </is>
      </c>
      <c r="E143" s="165" t="inlineStr">
        <is>
          <t>image/jpeg</t>
        </is>
      </c>
      <c r="F143" s="165" t="n">
        <v>399844</v>
      </c>
      <c r="G143" s="165" t="n">
        <v>200</v>
      </c>
      <c r="H143" s="165" t="inlineStr">
        <is>
          <t>5885533e4d48961367ed36b866edc71fc2e42b9cbbb80f1640ca3371fc448a1f</t>
        </is>
      </c>
      <c r="I143" s="165" t="inlineStr">
        <is>
          <t>VERIFIED</t>
        </is>
      </c>
      <c r="J143" s="166" t="inlineStr">
        <is>
          <t>https://service.tesla.com/docs/Model3/ElectricalReference/prog-333/locations/X561.jpg</t>
        </is>
      </c>
    </row>
    <row r="144">
      <c r="A144" s="15" t="n">
        <v>143</v>
      </c>
      <c r="B144" s="165" t="inlineStr">
        <is>
          <t>X565</t>
        </is>
      </c>
      <c r="C144" s="165" t="inlineStr">
        <is>
          <t>connector location image</t>
        </is>
      </c>
      <c r="D144" s="165" t="inlineStr">
        <is>
          <t>connectors/X565/location.jpg</t>
        </is>
      </c>
      <c r="E144" s="165" t="inlineStr">
        <is>
          <t>image/jpeg</t>
        </is>
      </c>
      <c r="F144" s="165" t="n">
        <v>300010</v>
      </c>
      <c r="G144" s="165" t="n">
        <v>200</v>
      </c>
      <c r="H144" s="165" t="inlineStr">
        <is>
          <t>2edb5cee33e3a5ae1fbfcfb8fbbe4c51b1782890d8a8232d9b22b05311c8c463</t>
        </is>
      </c>
      <c r="I144" s="165" t="inlineStr">
        <is>
          <t>VERIFIED</t>
        </is>
      </c>
      <c r="J144" s="166" t="inlineStr">
        <is>
          <t>https://service.tesla.com/docs/Model3/ElectricalReference/prog-333/locations/X565.jpg</t>
        </is>
      </c>
    </row>
    <row r="145">
      <c r="A145" s="15" t="n">
        <v>144</v>
      </c>
      <c r="B145" s="165" t="inlineStr">
        <is>
          <t>X567</t>
        </is>
      </c>
      <c r="C145" s="165" t="inlineStr">
        <is>
          <t>connector location image</t>
        </is>
      </c>
      <c r="D145" s="165" t="inlineStr">
        <is>
          <t>connectors/X567/location.jpg</t>
        </is>
      </c>
      <c r="E145" s="165" t="inlineStr">
        <is>
          <t>image/jpeg</t>
        </is>
      </c>
      <c r="F145" s="165" t="n">
        <v>300393</v>
      </c>
      <c r="G145" s="165" t="n">
        <v>200</v>
      </c>
      <c r="H145" s="165" t="inlineStr">
        <is>
          <t>37a6de032f2fc4be91b4ece2f334f13ae5b19fde0dbc4bd14b4e67cf8a603e82</t>
        </is>
      </c>
      <c r="I145" s="165" t="inlineStr">
        <is>
          <t>VERIFIED</t>
        </is>
      </c>
      <c r="J145" s="166" t="inlineStr">
        <is>
          <t>https://service.tesla.com/docs/Model3/ElectricalReference/prog-333/locations/X567.jpg</t>
        </is>
      </c>
    </row>
    <row r="146">
      <c r="A146" s="15" t="n">
        <v>145</v>
      </c>
      <c r="B146" s="165" t="inlineStr">
        <is>
          <t>X563</t>
        </is>
      </c>
      <c r="C146" s="165" t="inlineStr">
        <is>
          <t>connector location image</t>
        </is>
      </c>
      <c r="D146" s="165" t="inlineStr">
        <is>
          <t>connectors/X563/location.jpg</t>
        </is>
      </c>
      <c r="E146" s="165" t="inlineStr">
        <is>
          <t>image/jpeg</t>
        </is>
      </c>
      <c r="F146" s="165" t="n">
        <v>399334</v>
      </c>
      <c r="G146" s="165" t="n">
        <v>200</v>
      </c>
      <c r="H146" s="165" t="inlineStr">
        <is>
          <t>4b0e2ce95d3e37390103b23a666b85da9c94d973e9d76ea74e04c977cba6eeab</t>
        </is>
      </c>
      <c r="I146" s="165" t="inlineStr">
        <is>
          <t>VERIFIED</t>
        </is>
      </c>
      <c r="J146" s="166" t="inlineStr">
        <is>
          <t>https://service.tesla.com/docs/Model3/ElectricalReference/prog-333/locations/X563.jpg</t>
        </is>
      </c>
    </row>
    <row r="147">
      <c r="A147" s="15" t="n">
        <v>146</v>
      </c>
      <c r="B147" s="165" t="inlineStr">
        <is>
          <t>X575</t>
        </is>
      </c>
      <c r="C147" s="165" t="inlineStr">
        <is>
          <t>connector location image</t>
        </is>
      </c>
      <c r="D147" s="165" t="inlineStr">
        <is>
          <t>connectors/X575/location.jpg</t>
        </is>
      </c>
      <c r="E147" s="165" t="inlineStr">
        <is>
          <t>image/jpeg</t>
        </is>
      </c>
      <c r="F147" s="165" t="n">
        <v>319343</v>
      </c>
      <c r="G147" s="165" t="n">
        <v>200</v>
      </c>
      <c r="H147" s="165" t="inlineStr">
        <is>
          <t>64589a2b925e1974b56996830b00063f4b67e942e732a7583bdf85ac1e4d412e</t>
        </is>
      </c>
      <c r="I147" s="165" t="inlineStr">
        <is>
          <t>VERIFIED</t>
        </is>
      </c>
      <c r="J147" s="166" t="inlineStr">
        <is>
          <t>https://service.tesla.com/docs/Model3/ElectricalReference/prog-333/locations/X575.jpg</t>
        </is>
      </c>
    </row>
    <row r="148">
      <c r="A148" s="15" t="n">
        <v>147</v>
      </c>
      <c r="B148" s="165" t="inlineStr">
        <is>
          <t>X568</t>
        </is>
      </c>
      <c r="C148" s="165" t="inlineStr">
        <is>
          <t>connector location image</t>
        </is>
      </c>
      <c r="D148" s="165" t="inlineStr">
        <is>
          <t>connectors/X568/location.jpg</t>
        </is>
      </c>
      <c r="E148" s="165" t="inlineStr">
        <is>
          <t>image/jpeg</t>
        </is>
      </c>
      <c r="F148" s="165" t="n">
        <v>377435</v>
      </c>
      <c r="G148" s="165" t="n">
        <v>200</v>
      </c>
      <c r="H148" s="165" t="inlineStr">
        <is>
          <t>01c6b173337c1f4cf7897685d52d8800d0cf7e18731218f6de664e3b745b98c2</t>
        </is>
      </c>
      <c r="I148" s="165" t="inlineStr">
        <is>
          <t>VERIFIED</t>
        </is>
      </c>
      <c r="J148" s="166" t="inlineStr">
        <is>
          <t>https://service.tesla.com/docs/Model3/ElectricalReference/prog-333/locations/X568.jpg</t>
        </is>
      </c>
    </row>
    <row r="149">
      <c r="A149" s="15" t="n">
        <v>148</v>
      </c>
      <c r="B149" s="165" t="inlineStr">
        <is>
          <t>X569</t>
        </is>
      </c>
      <c r="C149" s="165" t="inlineStr">
        <is>
          <t>connector location image</t>
        </is>
      </c>
      <c r="D149" s="165" t="inlineStr">
        <is>
          <t>connectors/X569/location.jpg</t>
        </is>
      </c>
      <c r="E149" s="165" t="inlineStr">
        <is>
          <t>image/jpeg</t>
        </is>
      </c>
      <c r="F149" s="165" t="n">
        <v>362024</v>
      </c>
      <c r="G149" s="165" t="n">
        <v>200</v>
      </c>
      <c r="H149" s="165" t="inlineStr">
        <is>
          <t>ced579f18f164a9b76a4647f33eef592c4d6d45e3ccf0f23bb66d9a9af0eeb54</t>
        </is>
      </c>
      <c r="I149" s="165" t="inlineStr">
        <is>
          <t>VERIFIED</t>
        </is>
      </c>
      <c r="J149" s="166" t="inlineStr">
        <is>
          <t>https://service.tesla.com/docs/Model3/ElectricalReference/prog-333/locations/X569.jpg</t>
        </is>
      </c>
    </row>
    <row r="150">
      <c r="A150" s="15" t="n">
        <v>149</v>
      </c>
      <c r="B150" s="165" t="inlineStr">
        <is>
          <t>X570</t>
        </is>
      </c>
      <c r="C150" s="165" t="inlineStr">
        <is>
          <t>connector location image</t>
        </is>
      </c>
      <c r="D150" s="165" t="inlineStr">
        <is>
          <t>connectors/X570/location.jpg</t>
        </is>
      </c>
      <c r="E150" s="165" t="inlineStr">
        <is>
          <t>image/jpeg</t>
        </is>
      </c>
      <c r="F150" s="165" t="n">
        <v>397559</v>
      </c>
      <c r="G150" s="165" t="n">
        <v>200</v>
      </c>
      <c r="H150" s="165" t="inlineStr">
        <is>
          <t>384678389525851d031c023daad68e7e4556d684d818b66c32f2ffbab3139aa8</t>
        </is>
      </c>
      <c r="I150" s="165" t="inlineStr">
        <is>
          <t>VERIFIED</t>
        </is>
      </c>
      <c r="J150" s="166" t="inlineStr">
        <is>
          <t>https://service.tesla.com/docs/Model3/ElectricalReference/prog-333/locations/X570.jpg</t>
        </is>
      </c>
    </row>
    <row r="151">
      <c r="A151" s="15" t="n">
        <v>150</v>
      </c>
      <c r="B151" s="165" t="inlineStr">
        <is>
          <t>X579</t>
        </is>
      </c>
      <c r="C151" s="165" t="inlineStr">
        <is>
          <t>connector location image</t>
        </is>
      </c>
      <c r="D151" s="165" t="inlineStr">
        <is>
          <t>connectors/X579/location.jpg</t>
        </is>
      </c>
      <c r="E151" s="165" t="inlineStr">
        <is>
          <t>image/jpeg</t>
        </is>
      </c>
      <c r="F151" s="165" t="n">
        <v>361927</v>
      </c>
      <c r="G151" s="165" t="n">
        <v>200</v>
      </c>
      <c r="H151" s="165" t="inlineStr">
        <is>
          <t>253f81a835899a4495d72f6c6b3f1133d60f4a6a4ea3102a31da150a49f4bf95</t>
        </is>
      </c>
      <c r="I151" s="165" t="inlineStr">
        <is>
          <t>VERIFIED</t>
        </is>
      </c>
      <c r="J151" s="166" t="inlineStr">
        <is>
          <t>https://service.tesla.com/docs/Model3/ElectricalReference/prog-333/locations/X579.jpg</t>
        </is>
      </c>
    </row>
    <row r="152">
      <c r="A152" s="15" t="n">
        <v>151</v>
      </c>
      <c r="B152" s="165" t="inlineStr">
        <is>
          <t>X578</t>
        </is>
      </c>
      <c r="C152" s="165" t="inlineStr">
        <is>
          <t>connector location image</t>
        </is>
      </c>
      <c r="D152" s="165" t="inlineStr">
        <is>
          <t>connectors/X578/location.jpg</t>
        </is>
      </c>
      <c r="E152" s="165" t="inlineStr">
        <is>
          <t>image/jpeg</t>
        </is>
      </c>
      <c r="F152" s="165" t="n">
        <v>386540</v>
      </c>
      <c r="G152" s="165" t="n">
        <v>200</v>
      </c>
      <c r="H152" s="165" t="inlineStr">
        <is>
          <t>bdeff0d446ad94d5e89ba32671201effc4785306878cdca581d8d4d03f1965ad</t>
        </is>
      </c>
      <c r="I152" s="165" t="inlineStr">
        <is>
          <t>VERIFIED</t>
        </is>
      </c>
      <c r="J152" s="166" t="inlineStr">
        <is>
          <t>https://service.tesla.com/docs/Model3/ElectricalReference/prog-333/locations/X578.jpg</t>
        </is>
      </c>
    </row>
    <row r="153">
      <c r="A153" s="15" t="n">
        <v>152</v>
      </c>
      <c r="B153" s="165" t="inlineStr">
        <is>
          <t>X577</t>
        </is>
      </c>
      <c r="C153" s="165" t="inlineStr">
        <is>
          <t>connector location image</t>
        </is>
      </c>
      <c r="D153" s="165" t="inlineStr">
        <is>
          <t>connectors/X577/location.jpg</t>
        </is>
      </c>
      <c r="E153" s="165" t="inlineStr">
        <is>
          <t>image/jpeg</t>
        </is>
      </c>
      <c r="F153" s="165" t="n">
        <v>386540</v>
      </c>
      <c r="G153" s="165" t="n">
        <v>200</v>
      </c>
      <c r="H153" s="165" t="inlineStr">
        <is>
          <t>d9b20c3975e09d505c99c79e92edc62e063f1315b7819e14b8e77605ab989cc5</t>
        </is>
      </c>
      <c r="I153" s="165" t="inlineStr">
        <is>
          <t>VERIFIED</t>
        </is>
      </c>
      <c r="J153" s="166" t="inlineStr">
        <is>
          <t>https://service.tesla.com/docs/Model3/ElectricalReference/prog-333/locations/X577.jpg</t>
        </is>
      </c>
    </row>
    <row r="154">
      <c r="A154" s="15" t="n">
        <v>153</v>
      </c>
      <c r="B154" s="165" t="inlineStr">
        <is>
          <t>X580</t>
        </is>
      </c>
      <c r="C154" s="165" t="inlineStr">
        <is>
          <t>connector location image</t>
        </is>
      </c>
      <c r="D154" s="165" t="inlineStr">
        <is>
          <t>connectors/X580/location.jpg</t>
        </is>
      </c>
      <c r="E154" s="165" t="inlineStr">
        <is>
          <t>image/jpeg</t>
        </is>
      </c>
      <c r="F154" s="165" t="n">
        <v>407213</v>
      </c>
      <c r="G154" s="165" t="n">
        <v>200</v>
      </c>
      <c r="H154" s="165" t="inlineStr">
        <is>
          <t>f0cafa2077903c08616636a915a4a6a06025a9d2490221ed48c9d78d7936db5b</t>
        </is>
      </c>
      <c r="I154" s="165" t="inlineStr">
        <is>
          <t>VERIFIED</t>
        </is>
      </c>
      <c r="J154" s="166" t="inlineStr">
        <is>
          <t>https://service.tesla.com/docs/Model3/ElectricalReference/prog-333/locations/X580.jpg</t>
        </is>
      </c>
    </row>
    <row r="155">
      <c r="A155" s="15" t="n">
        <v>154</v>
      </c>
      <c r="B155" s="165" t="inlineStr">
        <is>
          <t>X576</t>
        </is>
      </c>
      <c r="C155" s="165" t="inlineStr">
        <is>
          <t>connector location image</t>
        </is>
      </c>
      <c r="D155" s="165" t="inlineStr">
        <is>
          <t>connectors/X576/location.jpg</t>
        </is>
      </c>
      <c r="E155" s="165" t="inlineStr">
        <is>
          <t>image/jpeg</t>
        </is>
      </c>
      <c r="F155" s="165" t="n">
        <v>450482</v>
      </c>
      <c r="G155" s="165" t="n">
        <v>200</v>
      </c>
      <c r="H155" s="165" t="inlineStr">
        <is>
          <t>08e4f0aabb20439ddbfd8b3194f5765d28bbc8bea1e317ee82c40bafd17f4d89</t>
        </is>
      </c>
      <c r="I155" s="165" t="inlineStr">
        <is>
          <t>VERIFIED</t>
        </is>
      </c>
      <c r="J155" s="166" t="inlineStr">
        <is>
          <t>https://service.tesla.com/docs/Model3/ElectricalReference/prog-333/locations/X576.jpg</t>
        </is>
      </c>
    </row>
    <row r="156">
      <c r="A156" s="15" t="n">
        <v>155</v>
      </c>
      <c r="B156" s="165" t="inlineStr">
        <is>
          <t>X588</t>
        </is>
      </c>
      <c r="C156" s="165" t="inlineStr">
        <is>
          <t>connector location image</t>
        </is>
      </c>
      <c r="D156" s="165" t="inlineStr">
        <is>
          <t>connectors/X588/location.jpg</t>
        </is>
      </c>
      <c r="E156" s="165" t="inlineStr">
        <is>
          <t>image/jpeg</t>
        </is>
      </c>
      <c r="F156" s="165" t="n">
        <v>263520</v>
      </c>
      <c r="G156" s="165" t="n">
        <v>200</v>
      </c>
      <c r="H156" s="165" t="inlineStr">
        <is>
          <t>d5dea041e412e37973376d542d7da36910369607296d51a3865f43e81db298c8</t>
        </is>
      </c>
      <c r="I156" s="165" t="inlineStr">
        <is>
          <t>VERIFIED</t>
        </is>
      </c>
      <c r="J156" s="166" t="inlineStr">
        <is>
          <t>https://service.tesla.com/docs/Model3/ElectricalReference/prog-333/locations/X588.jpg</t>
        </is>
      </c>
    </row>
    <row r="157">
      <c r="A157" s="15" t="n">
        <v>156</v>
      </c>
      <c r="B157" s="165" t="inlineStr">
        <is>
          <t>X591</t>
        </is>
      </c>
      <c r="C157" s="165" t="inlineStr">
        <is>
          <t>connector location image</t>
        </is>
      </c>
      <c r="D157" s="165" t="inlineStr">
        <is>
          <t>connectors/X591/location.jpg</t>
        </is>
      </c>
      <c r="E157" s="165" t="inlineStr">
        <is>
          <t>image/jpeg</t>
        </is>
      </c>
      <c r="F157" s="165" t="n">
        <v>199285</v>
      </c>
      <c r="G157" s="165" t="n">
        <v>200</v>
      </c>
      <c r="H157" s="165" t="inlineStr">
        <is>
          <t>9d2330f67f7937169342f16212113d323208d29d272a44c7e1f5f56a2bf865cb</t>
        </is>
      </c>
      <c r="I157" s="165" t="inlineStr">
        <is>
          <t>VERIFIED</t>
        </is>
      </c>
      <c r="J157" s="166" t="inlineStr">
        <is>
          <t>https://service.tesla.com/docs/Model3/ElectricalReference/prog-333/locations/X591.jpg</t>
        </is>
      </c>
    </row>
    <row r="158">
      <c r="A158" s="15" t="n">
        <v>157</v>
      </c>
      <c r="B158" s="165" t="inlineStr">
        <is>
          <t>X593</t>
        </is>
      </c>
      <c r="C158" s="165" t="inlineStr">
        <is>
          <t>connector location image</t>
        </is>
      </c>
      <c r="D158" s="165" t="inlineStr">
        <is>
          <t>connectors/X593/location.jpg</t>
        </is>
      </c>
      <c r="E158" s="165" t="inlineStr">
        <is>
          <t>image/jpeg</t>
        </is>
      </c>
      <c r="F158" s="165" t="n">
        <v>263099</v>
      </c>
      <c r="G158" s="165" t="n">
        <v>200</v>
      </c>
      <c r="H158" s="165" t="inlineStr">
        <is>
          <t>e0b6c96a57b5cd165eb19b340ab3b99f57395e6273e958787a641a4feca9086e</t>
        </is>
      </c>
      <c r="I158" s="165" t="inlineStr">
        <is>
          <t>VERIFIED</t>
        </is>
      </c>
      <c r="J158" s="166" t="inlineStr">
        <is>
          <t>https://service.tesla.com/docs/Model3/ElectricalReference/prog-333/locations/X593.jpg</t>
        </is>
      </c>
    </row>
    <row r="159">
      <c r="A159" s="15" t="n">
        <v>158</v>
      </c>
      <c r="B159" s="165" t="inlineStr">
        <is>
          <t>X600</t>
        </is>
      </c>
      <c r="C159" s="165" t="inlineStr">
        <is>
          <t>connector location image</t>
        </is>
      </c>
      <c r="D159" s="165" t="inlineStr">
        <is>
          <t>connectors/X600/location.jpg</t>
        </is>
      </c>
      <c r="E159" s="165" t="inlineStr">
        <is>
          <t>image/jpeg</t>
        </is>
      </c>
      <c r="F159" s="165" t="n">
        <v>349060</v>
      </c>
      <c r="G159" s="165" t="n">
        <v>200</v>
      </c>
      <c r="H159" s="165" t="inlineStr">
        <is>
          <t>281f8ef82a8c4a8ce4e9b2d556458fb74caf49803d980e78b048fd38f2c35145</t>
        </is>
      </c>
      <c r="I159" s="165" t="inlineStr">
        <is>
          <t>VERIFIED</t>
        </is>
      </c>
      <c r="J159" s="166" t="inlineStr">
        <is>
          <t>https://service.tesla.com/docs/Model3/ElectricalReference/prog-333/locations/X600.jpg</t>
        </is>
      </c>
    </row>
    <row r="160">
      <c r="A160" s="15" t="n">
        <v>159</v>
      </c>
      <c r="B160" s="165" t="inlineStr">
        <is>
          <t>X601</t>
        </is>
      </c>
      <c r="C160" s="165" t="inlineStr">
        <is>
          <t>connector location image</t>
        </is>
      </c>
      <c r="D160" s="165" t="inlineStr">
        <is>
          <t>connectors/X601/location.jpg</t>
        </is>
      </c>
      <c r="E160" s="165" t="inlineStr">
        <is>
          <t>image/jpeg</t>
        </is>
      </c>
      <c r="F160" s="165" t="n">
        <v>349074</v>
      </c>
      <c r="G160" s="165" t="n">
        <v>200</v>
      </c>
      <c r="H160" s="165" t="inlineStr">
        <is>
          <t>797e82dc30f52f93d1a2cca898fed999f637de2ab662440ea1df6c4e51fb288f</t>
        </is>
      </c>
      <c r="I160" s="165" t="inlineStr">
        <is>
          <t>VERIFIED</t>
        </is>
      </c>
      <c r="J160" s="166" t="inlineStr">
        <is>
          <t>https://service.tesla.com/docs/Model3/ElectricalReference/prog-333/locations/X601.jpg</t>
        </is>
      </c>
    </row>
    <row r="161">
      <c r="A161" s="15" t="n">
        <v>160</v>
      </c>
      <c r="B161" s="165" t="inlineStr">
        <is>
          <t>X603</t>
        </is>
      </c>
      <c r="C161" s="165" t="inlineStr">
        <is>
          <t>connector location image</t>
        </is>
      </c>
      <c r="D161" s="165" t="inlineStr">
        <is>
          <t>connectors/X603/location.jpg</t>
        </is>
      </c>
      <c r="E161" s="165" t="inlineStr">
        <is>
          <t>image/jpeg</t>
        </is>
      </c>
      <c r="F161" s="165" t="n">
        <v>387178</v>
      </c>
      <c r="G161" s="165" t="n">
        <v>200</v>
      </c>
      <c r="H161" s="165" t="inlineStr">
        <is>
          <t>abafb8a248203b2687cf2be81e4ef9cec010f7291284b509495aa9282acdd354</t>
        </is>
      </c>
      <c r="I161" s="165" t="inlineStr">
        <is>
          <t>VERIFIED</t>
        </is>
      </c>
      <c r="J161" s="166" t="inlineStr">
        <is>
          <t>https://service.tesla.com/docs/Model3/ElectricalReference/prog-333/locations/X603.jpg</t>
        </is>
      </c>
    </row>
    <row r="162">
      <c r="A162" s="15" t="n">
        <v>161</v>
      </c>
      <c r="B162" s="165" t="inlineStr">
        <is>
          <t>X603A</t>
        </is>
      </c>
      <c r="C162" s="165" t="inlineStr">
        <is>
          <t>connector location image</t>
        </is>
      </c>
      <c r="D162" s="165" t="inlineStr">
        <is>
          <t>connectors/X603A/location.jpg</t>
        </is>
      </c>
      <c r="E162" s="165" t="inlineStr">
        <is>
          <t>image/jpeg</t>
        </is>
      </c>
      <c r="F162" s="165" t="n">
        <v>346987</v>
      </c>
      <c r="G162" s="165" t="n">
        <v>200</v>
      </c>
      <c r="H162" s="165" t="inlineStr">
        <is>
          <t>e528e1d8ea55fc9c2b2ec0688c08c30d2c13c2d04ce38d1825285fff4414e864</t>
        </is>
      </c>
      <c r="I162" s="165" t="inlineStr">
        <is>
          <t>VERIFIED</t>
        </is>
      </c>
      <c r="J162" s="166" t="inlineStr">
        <is>
          <t>https://service.tesla.com/docs/Model3/ElectricalReference/prog-333/locations/X603A.jpg</t>
        </is>
      </c>
    </row>
    <row r="163">
      <c r="A163" s="15" t="n">
        <v>162</v>
      </c>
      <c r="B163" s="165" t="inlineStr">
        <is>
          <t>X607</t>
        </is>
      </c>
      <c r="C163" s="165" t="inlineStr">
        <is>
          <t>connector location image</t>
        </is>
      </c>
      <c r="D163" s="165" t="inlineStr">
        <is>
          <t>connectors/X607/location.jpg</t>
        </is>
      </c>
      <c r="E163" s="165" t="inlineStr">
        <is>
          <t>image/jpeg</t>
        </is>
      </c>
      <c r="F163" s="165" t="n">
        <v>427641</v>
      </c>
      <c r="G163" s="165" t="n">
        <v>200</v>
      </c>
      <c r="H163" s="165" t="inlineStr">
        <is>
          <t>5022d5e4f3d821fc6850a18adbe81d39fed02b1c5900e9796c0f6d6b5a39ee47</t>
        </is>
      </c>
      <c r="I163" s="165" t="inlineStr">
        <is>
          <t>VERIFIED</t>
        </is>
      </c>
      <c r="J163" s="166" t="inlineStr">
        <is>
          <t>https://service.tesla.com/docs/Model3/ElectricalReference/prog-333/locations/X607.jpg</t>
        </is>
      </c>
    </row>
    <row r="164">
      <c r="A164" s="15" t="n">
        <v>163</v>
      </c>
      <c r="B164" s="165" t="inlineStr">
        <is>
          <t>X818</t>
        </is>
      </c>
      <c r="C164" s="165" t="inlineStr">
        <is>
          <t>connector location image</t>
        </is>
      </c>
      <c r="D164" s="165" t="inlineStr">
        <is>
          <t>connectors/X818/location.jpg</t>
        </is>
      </c>
      <c r="E164" s="165" t="inlineStr">
        <is>
          <t>image/jpeg</t>
        </is>
      </c>
      <c r="F164" s="165" t="n">
        <v>263365</v>
      </c>
      <c r="G164" s="165" t="n">
        <v>200</v>
      </c>
      <c r="H164" s="165" t="inlineStr">
        <is>
          <t>d1b3bfde4c1176c0c5975833059670206a066b798c3d6408a960211fd01e97a8</t>
        </is>
      </c>
      <c r="I164" s="165" t="inlineStr">
        <is>
          <t>VERIFIED</t>
        </is>
      </c>
      <c r="J164" s="166" t="inlineStr">
        <is>
          <t>https://service.tesla.com/docs/Model3/ElectricalReference/prog-333/locations/X818.jpg</t>
        </is>
      </c>
    </row>
    <row r="165">
      <c r="A165" s="15" t="n">
        <v>164</v>
      </c>
      <c r="B165" s="165" t="inlineStr">
        <is>
          <t>X604</t>
        </is>
      </c>
      <c r="C165" s="165" t="inlineStr">
        <is>
          <t>connector location image</t>
        </is>
      </c>
      <c r="D165" s="165" t="inlineStr">
        <is>
          <t>connectors/X604/location.jpg</t>
        </is>
      </c>
      <c r="E165" s="165" t="inlineStr">
        <is>
          <t>image/jpeg</t>
        </is>
      </c>
      <c r="F165" s="165" t="n">
        <v>279973</v>
      </c>
      <c r="G165" s="165" t="n">
        <v>200</v>
      </c>
      <c r="H165" s="165" t="inlineStr">
        <is>
          <t>1e472d1c74eeea13c89436382fa4b2b793f59d00461e474bb22787755d234dc5</t>
        </is>
      </c>
      <c r="I165" s="165" t="inlineStr">
        <is>
          <t>VERIFIED</t>
        </is>
      </c>
      <c r="J165" s="166" t="inlineStr">
        <is>
          <t>https://service.tesla.com/docs/Model3/ElectricalReference/prog-333/locations/X604.jpg</t>
        </is>
      </c>
    </row>
    <row r="166">
      <c r="A166" s="15" t="n">
        <v>165</v>
      </c>
      <c r="B166" s="165" t="inlineStr">
        <is>
          <t>X608</t>
        </is>
      </c>
      <c r="C166" s="165" t="inlineStr">
        <is>
          <t>connector location image</t>
        </is>
      </c>
      <c r="D166" s="165" t="inlineStr">
        <is>
          <t>connectors/X608/location.jpg</t>
        </is>
      </c>
      <c r="E166" s="165" t="inlineStr">
        <is>
          <t>image/jpeg</t>
        </is>
      </c>
      <c r="F166" s="165" t="n">
        <v>265419</v>
      </c>
      <c r="G166" s="165" t="n">
        <v>200</v>
      </c>
      <c r="H166" s="165" t="inlineStr">
        <is>
          <t>a8f0e97d9188924a0e0142055cddf069626ef1cdebfcde653978129ebf79f033</t>
        </is>
      </c>
      <c r="I166" s="165" t="inlineStr">
        <is>
          <t>VERIFIED</t>
        </is>
      </c>
      <c r="J166" s="166" t="inlineStr">
        <is>
          <t>https://service.tesla.com/docs/Model3/ElectricalReference/prog-333/locations/X608.jpg</t>
        </is>
      </c>
    </row>
    <row r="167">
      <c r="A167" s="15" t="n">
        <v>166</v>
      </c>
      <c r="B167" s="165" t="inlineStr">
        <is>
          <t>X609</t>
        </is>
      </c>
      <c r="C167" s="165" t="inlineStr">
        <is>
          <t>connector location image</t>
        </is>
      </c>
      <c r="D167" s="165" t="inlineStr">
        <is>
          <t>connectors/X609/location.jpg</t>
        </is>
      </c>
      <c r="E167" s="165" t="inlineStr">
        <is>
          <t>image/jpeg</t>
        </is>
      </c>
      <c r="F167" s="165" t="n">
        <v>265586</v>
      </c>
      <c r="G167" s="165" t="n">
        <v>200</v>
      </c>
      <c r="H167" s="165" t="inlineStr">
        <is>
          <t>18a81fcec3a1364c84297424450e4e2ca480581442080621135dfdb1561b7a1c</t>
        </is>
      </c>
      <c r="I167" s="165" t="inlineStr">
        <is>
          <t>VERIFIED</t>
        </is>
      </c>
      <c r="J167" s="166" t="inlineStr">
        <is>
          <t>https://service.tesla.com/docs/Model3/ElectricalReference/prog-333/locations/X609.jpg</t>
        </is>
      </c>
    </row>
    <row r="168">
      <c r="A168" s="15" t="n">
        <v>167</v>
      </c>
      <c r="B168" s="165" t="inlineStr">
        <is>
          <t>X901F</t>
        </is>
      </c>
      <c r="C168" s="165" t="inlineStr">
        <is>
          <t>connector location image</t>
        </is>
      </c>
      <c r="D168" s="165" t="inlineStr">
        <is>
          <t>connectors/X901F/location.jpg</t>
        </is>
      </c>
      <c r="E168" s="165" t="inlineStr">
        <is>
          <t>image/jpeg</t>
        </is>
      </c>
      <c r="F168" s="165" t="n">
        <v>206093</v>
      </c>
      <c r="G168" s="165" t="n">
        <v>200</v>
      </c>
      <c r="H168" s="165" t="inlineStr">
        <is>
          <t>3ffa412a6ff6fff9e9ed7b04cc39a2719d8574fc1286057525b25f83c4186bcc</t>
        </is>
      </c>
      <c r="I168" s="165" t="inlineStr">
        <is>
          <t>VERIFIED</t>
        </is>
      </c>
      <c r="J168" s="166" t="inlineStr">
        <is>
          <t>https://service.tesla.com/docs/Model3/ElectricalReference/prog-333/locations/X901F.jpg</t>
        </is>
      </c>
    </row>
    <row r="169">
      <c r="A169" s="15" t="n">
        <v>168</v>
      </c>
      <c r="B169" s="165" t="inlineStr">
        <is>
          <t>X845</t>
        </is>
      </c>
      <c r="C169" s="165" t="inlineStr">
        <is>
          <t>connector location image</t>
        </is>
      </c>
      <c r="D169" s="165" t="inlineStr">
        <is>
          <t>connectors/X845/location.jpg</t>
        </is>
      </c>
      <c r="E169" s="165" t="inlineStr">
        <is>
          <t>image/jpeg</t>
        </is>
      </c>
      <c r="F169" s="165" t="n">
        <v>263332</v>
      </c>
      <c r="G169" s="165" t="n">
        <v>200</v>
      </c>
      <c r="H169" s="165" t="inlineStr">
        <is>
          <t>507057b0867cc2da1a997f25859efdc3ea1562db8f7cd16b21818de4b95bc352</t>
        </is>
      </c>
      <c r="I169" s="165" t="inlineStr">
        <is>
          <t>VERIFIED</t>
        </is>
      </c>
      <c r="J169" s="166" t="inlineStr">
        <is>
          <t>https://service.tesla.com/docs/Model3/ElectricalReference/prog-333/locations/X845.jpg</t>
        </is>
      </c>
    </row>
    <row r="170">
      <c r="A170" s="15" t="n">
        <v>169</v>
      </c>
      <c r="B170" s="165" t="inlineStr">
        <is>
          <t>X901M</t>
        </is>
      </c>
      <c r="C170" s="165" t="inlineStr">
        <is>
          <t>connector location image</t>
        </is>
      </c>
      <c r="D170" s="165" t="inlineStr">
        <is>
          <t>connectors/X901M/location.jpg</t>
        </is>
      </c>
      <c r="E170" s="165" t="inlineStr">
        <is>
          <t>image/jpeg</t>
        </is>
      </c>
      <c r="F170" s="165" t="n">
        <v>390267</v>
      </c>
      <c r="G170" s="165" t="n">
        <v>200</v>
      </c>
      <c r="H170" s="165" t="inlineStr">
        <is>
          <t>9cb1d886eb66a81e87f4772fbf84276d8f6cecd710dfa88a4dab686f2d6f9743</t>
        </is>
      </c>
      <c r="I170" s="165" t="inlineStr">
        <is>
          <t>VERIFIED</t>
        </is>
      </c>
      <c r="J170" s="166" t="inlineStr">
        <is>
          <t>https://service.tesla.com/docs/Model3/ElectricalReference/prog-333/locations/X901M.jpg</t>
        </is>
      </c>
    </row>
    <row r="171">
      <c r="A171" s="15" t="n">
        <v>170</v>
      </c>
      <c r="B171" s="165" t="inlineStr">
        <is>
          <t>X922F</t>
        </is>
      </c>
      <c r="C171" s="165" t="inlineStr">
        <is>
          <t>connector location image</t>
        </is>
      </c>
      <c r="D171" s="165" t="inlineStr">
        <is>
          <t>connectors/X922F/location.jpg</t>
        </is>
      </c>
      <c r="E171" s="165" t="inlineStr">
        <is>
          <t>image/jpeg</t>
        </is>
      </c>
      <c r="F171" s="165" t="n">
        <v>399372</v>
      </c>
      <c r="G171" s="165" t="n">
        <v>200</v>
      </c>
      <c r="H171" s="165" t="inlineStr">
        <is>
          <t>cbf637c9886b65cb9c3b70aeeb759ab60de5b0c3403ac18a11fff02605291d73</t>
        </is>
      </c>
      <c r="I171" s="165" t="inlineStr">
        <is>
          <t>VERIFIED</t>
        </is>
      </c>
      <c r="J171" s="166" t="inlineStr">
        <is>
          <t>https://service.tesla.com/docs/Model3/ElectricalReference/prog-333/locations/X922F.jpg</t>
        </is>
      </c>
    </row>
    <row r="172">
      <c r="A172" s="15" t="n">
        <v>171</v>
      </c>
      <c r="B172" s="165" t="inlineStr">
        <is>
          <t>X908F</t>
        </is>
      </c>
      <c r="C172" s="165" t="inlineStr">
        <is>
          <t>connector location image</t>
        </is>
      </c>
      <c r="D172" s="165" t="inlineStr">
        <is>
          <t>connectors/X908F/location.jpg</t>
        </is>
      </c>
      <c r="E172" s="165" t="inlineStr">
        <is>
          <t>image/jpeg</t>
        </is>
      </c>
      <c r="F172" s="165" t="n">
        <v>387445</v>
      </c>
      <c r="G172" s="165" t="n">
        <v>200</v>
      </c>
      <c r="H172" s="165" t="inlineStr">
        <is>
          <t>318d8d75c4cb843bdd5038ce292fa15b6f660d529a551ba3a575a8ac0795bb9b</t>
        </is>
      </c>
      <c r="I172" s="165" t="inlineStr">
        <is>
          <t>VERIFIED</t>
        </is>
      </c>
      <c r="J172" s="166" t="inlineStr">
        <is>
          <t>https://service.tesla.com/docs/Model3/ElectricalReference/prog-333/locations/X908F.jpg</t>
        </is>
      </c>
    </row>
    <row r="173">
      <c r="A173" s="15" t="n">
        <v>172</v>
      </c>
      <c r="B173" s="165" t="inlineStr">
        <is>
          <t>X922M</t>
        </is>
      </c>
      <c r="C173" s="165" t="inlineStr">
        <is>
          <t>connector location image</t>
        </is>
      </c>
      <c r="D173" s="165" t="inlineStr">
        <is>
          <t>connectors/X922M/location.jpg</t>
        </is>
      </c>
      <c r="E173" s="165" t="inlineStr">
        <is>
          <t>image/jpeg</t>
        </is>
      </c>
      <c r="F173" s="165" t="n">
        <v>398756</v>
      </c>
      <c r="G173" s="165" t="n">
        <v>200</v>
      </c>
      <c r="H173" s="165" t="inlineStr">
        <is>
          <t>445a2ea69ac8551c9cb338ea9744c27621962826a1fb4e86a0dbb72960d74a19</t>
        </is>
      </c>
      <c r="I173" s="165" t="inlineStr">
        <is>
          <t>VERIFIED</t>
        </is>
      </c>
      <c r="J173" s="166" t="inlineStr">
        <is>
          <t>https://service.tesla.com/docs/Model3/ElectricalReference/prog-333/locations/X922M.jpg</t>
        </is>
      </c>
    </row>
    <row r="174">
      <c r="A174" s="15" t="n">
        <v>173</v>
      </c>
      <c r="B174" s="165" t="inlineStr">
        <is>
          <t>X923F</t>
        </is>
      </c>
      <c r="C174" s="165" t="inlineStr">
        <is>
          <t>connector location image</t>
        </is>
      </c>
      <c r="D174" s="165" t="inlineStr">
        <is>
          <t>connectors/X923F/location.jpg</t>
        </is>
      </c>
      <c r="E174" s="165" t="inlineStr">
        <is>
          <t>image/jpeg</t>
        </is>
      </c>
      <c r="F174" s="165" t="n">
        <v>408895</v>
      </c>
      <c r="G174" s="165" t="n">
        <v>200</v>
      </c>
      <c r="H174" s="165" t="inlineStr">
        <is>
          <t>30b88cd6947cd8096cc083006ecfdf2f21140523f0d9f495016a6b4fed2a58fb</t>
        </is>
      </c>
      <c r="I174" s="165" t="inlineStr">
        <is>
          <t>VERIFIED</t>
        </is>
      </c>
      <c r="J174" s="166" t="inlineStr">
        <is>
          <t>https://service.tesla.com/docs/Model3/ElectricalReference/prog-333/locations/X923F.jpg</t>
        </is>
      </c>
    </row>
    <row r="175">
      <c r="A175" s="15" t="n">
        <v>174</v>
      </c>
      <c r="B175" s="165" t="inlineStr">
        <is>
          <t>X924F</t>
        </is>
      </c>
      <c r="C175" s="165" t="inlineStr">
        <is>
          <t>connector location image</t>
        </is>
      </c>
      <c r="D175" s="165" t="inlineStr">
        <is>
          <t>connectors/X924F/location.jpg</t>
        </is>
      </c>
      <c r="E175" s="165" t="inlineStr">
        <is>
          <t>image/jpeg</t>
        </is>
      </c>
      <c r="F175" s="165" t="n">
        <v>284416</v>
      </c>
      <c r="G175" s="165" t="n">
        <v>200</v>
      </c>
      <c r="H175" s="165" t="inlineStr">
        <is>
          <t>9412c35487ee2df2a8262b7073631ea7baa04b572cc06e438b610daf9557eb45</t>
        </is>
      </c>
      <c r="I175" s="165" t="inlineStr">
        <is>
          <t>VERIFIED</t>
        </is>
      </c>
      <c r="J175" s="166" t="inlineStr">
        <is>
          <t>https://service.tesla.com/docs/Model3/ElectricalReference/prog-333/locations/X924F.jpg</t>
        </is>
      </c>
    </row>
    <row r="176">
      <c r="A176" s="15" t="n">
        <v>175</v>
      </c>
      <c r="B176" s="165" t="inlineStr">
        <is>
          <t>X923M</t>
        </is>
      </c>
      <c r="C176" s="165" t="inlineStr">
        <is>
          <t>connector location image</t>
        </is>
      </c>
      <c r="D176" s="165" t="inlineStr">
        <is>
          <t>connectors/X923M/location.jpg</t>
        </is>
      </c>
      <c r="E176" s="165" t="inlineStr">
        <is>
          <t>image/jpeg</t>
        </is>
      </c>
      <c r="F176" s="165" t="n">
        <v>408289</v>
      </c>
      <c r="G176" s="165" t="n">
        <v>200</v>
      </c>
      <c r="H176" s="165" t="inlineStr">
        <is>
          <t>80d888d72f76ac2ae4e84532d1d91624f387cc99c6eaa7455121d87a2873ec59</t>
        </is>
      </c>
      <c r="I176" s="165" t="inlineStr">
        <is>
          <t>VERIFIED</t>
        </is>
      </c>
      <c r="J176" s="166" t="inlineStr">
        <is>
          <t>https://service.tesla.com/docs/Model3/ElectricalReference/prog-333/locations/X923M.jpg</t>
        </is>
      </c>
    </row>
    <row r="177">
      <c r="A177" s="15" t="n">
        <v>176</v>
      </c>
      <c r="B177" s="165" t="inlineStr">
        <is>
          <t>X925M</t>
        </is>
      </c>
      <c r="C177" s="165" t="inlineStr">
        <is>
          <t>connector location image</t>
        </is>
      </c>
      <c r="D177" s="165" t="inlineStr">
        <is>
          <t>connectors/X925M/location.jpg</t>
        </is>
      </c>
      <c r="E177" s="165" t="inlineStr">
        <is>
          <t>image/jpeg</t>
        </is>
      </c>
      <c r="F177" s="165" t="n">
        <v>374935</v>
      </c>
      <c r="G177" s="165" t="n">
        <v>200</v>
      </c>
      <c r="H177" s="165" t="inlineStr">
        <is>
          <t>254fa8d7c938c025bb5ad9169a812bfbf75cda56095cfb24b8e5d2a393472f17</t>
        </is>
      </c>
      <c r="I177" s="165" t="inlineStr">
        <is>
          <t>VERIFIED</t>
        </is>
      </c>
      <c r="J177" s="166" t="inlineStr">
        <is>
          <t>https://service.tesla.com/docs/Model3/ElectricalReference/prog-333/locations/X925M.jpg</t>
        </is>
      </c>
    </row>
    <row r="178">
      <c r="A178" s="15" t="n">
        <v>177</v>
      </c>
      <c r="B178" s="165" t="inlineStr">
        <is>
          <t>X924M</t>
        </is>
      </c>
      <c r="C178" s="165" t="inlineStr">
        <is>
          <t>connector location image</t>
        </is>
      </c>
      <c r="D178" s="165" t="inlineStr">
        <is>
          <t>connectors/X924M/location.jpg</t>
        </is>
      </c>
      <c r="E178" s="165" t="inlineStr">
        <is>
          <t>image/jpeg</t>
        </is>
      </c>
      <c r="F178" s="165" t="n">
        <v>376191</v>
      </c>
      <c r="G178" s="165" t="n">
        <v>200</v>
      </c>
      <c r="H178" s="165" t="inlineStr">
        <is>
          <t>12cf2663988940f6c4084a1cccccaa6199c847e68076ef1b341bb769f40f1d02</t>
        </is>
      </c>
      <c r="I178" s="165" t="inlineStr">
        <is>
          <t>VERIFIED</t>
        </is>
      </c>
      <c r="J178" s="166" t="inlineStr">
        <is>
          <t>https://service.tesla.com/docs/Model3/ElectricalReference/prog-333/locations/X924M.jpg</t>
        </is>
      </c>
    </row>
    <row r="179">
      <c r="A179" s="15" t="n">
        <v>178</v>
      </c>
      <c r="B179" s="165" t="inlineStr">
        <is>
          <t>X925F</t>
        </is>
      </c>
      <c r="C179" s="165" t="inlineStr">
        <is>
          <t>connector location image</t>
        </is>
      </c>
      <c r="D179" s="165" t="inlineStr">
        <is>
          <t>connectors/X925F/location.jpg</t>
        </is>
      </c>
      <c r="E179" s="165" t="inlineStr">
        <is>
          <t>image/jpeg</t>
        </is>
      </c>
      <c r="F179" s="165" t="n">
        <v>375466</v>
      </c>
      <c r="G179" s="165" t="n">
        <v>200</v>
      </c>
      <c r="H179" s="165" t="inlineStr">
        <is>
          <t>4b982d8cc21a6d9def2990ac8a46de6f903ab50b3c340a6869db58c0119b9d50</t>
        </is>
      </c>
      <c r="I179" s="165" t="inlineStr">
        <is>
          <t>VERIFIED</t>
        </is>
      </c>
      <c r="J179" s="166" t="inlineStr">
        <is>
          <t>https://service.tesla.com/docs/Model3/ElectricalReference/prog-333/locations/X925F.jpg</t>
        </is>
      </c>
    </row>
    <row r="180">
      <c r="A180" s="15" t="n">
        <v>179</v>
      </c>
      <c r="B180" s="165" t="inlineStr">
        <is>
          <t>X926F</t>
        </is>
      </c>
      <c r="C180" s="165" t="inlineStr">
        <is>
          <t>connector location image</t>
        </is>
      </c>
      <c r="D180" s="165" t="inlineStr">
        <is>
          <t>connectors/X926F/location.jpg</t>
        </is>
      </c>
      <c r="E180" s="165" t="inlineStr">
        <is>
          <t>image/jpeg</t>
        </is>
      </c>
      <c r="F180" s="165" t="n">
        <v>451413</v>
      </c>
      <c r="G180" s="165" t="n">
        <v>200</v>
      </c>
      <c r="H180" s="165" t="inlineStr">
        <is>
          <t>d9642432d57ca6ab9f126c535f0d7a58019fce562e2e1456bdb65f40b734bcf2</t>
        </is>
      </c>
      <c r="I180" s="165" t="inlineStr">
        <is>
          <t>VERIFIED</t>
        </is>
      </c>
      <c r="J180" s="166" t="inlineStr">
        <is>
          <t>https://service.tesla.com/docs/Model3/ElectricalReference/prog-333/locations/X926F.jpg</t>
        </is>
      </c>
    </row>
    <row r="181">
      <c r="A181" s="15" t="n">
        <v>180</v>
      </c>
      <c r="B181" s="165" t="inlineStr">
        <is>
          <t>X927F</t>
        </is>
      </c>
      <c r="C181" s="165" t="inlineStr">
        <is>
          <t>connector location image</t>
        </is>
      </c>
      <c r="D181" s="165" t="inlineStr">
        <is>
          <t>connectors/X927F/location.jpg</t>
        </is>
      </c>
      <c r="E181" s="165" t="inlineStr">
        <is>
          <t>image/jpeg</t>
        </is>
      </c>
      <c r="F181" s="165" t="n">
        <v>385042</v>
      </c>
      <c r="G181" s="165" t="n">
        <v>200</v>
      </c>
      <c r="H181" s="165" t="inlineStr">
        <is>
          <t>17ad79eb7ee0ad2220fe7d40c4076bb577a039eafbc7d01dda4127da39edd6e7</t>
        </is>
      </c>
      <c r="I181" s="165" t="inlineStr">
        <is>
          <t>VERIFIED</t>
        </is>
      </c>
      <c r="J181" s="166" t="inlineStr">
        <is>
          <t>https://service.tesla.com/docs/Model3/ElectricalReference/prog-333/locations/X927F.jpg</t>
        </is>
      </c>
    </row>
    <row r="182">
      <c r="A182" s="15" t="n">
        <v>181</v>
      </c>
      <c r="B182" s="165" t="inlineStr">
        <is>
          <t>X927M</t>
        </is>
      </c>
      <c r="C182" s="165" t="inlineStr">
        <is>
          <t>connector location image</t>
        </is>
      </c>
      <c r="D182" s="165" t="inlineStr">
        <is>
          <t>connectors/X927M/location.jpg</t>
        </is>
      </c>
      <c r="E182" s="165" t="inlineStr">
        <is>
          <t>image/jpeg</t>
        </is>
      </c>
      <c r="F182" s="165" t="n">
        <v>375384</v>
      </c>
      <c r="G182" s="165" t="n">
        <v>200</v>
      </c>
      <c r="H182" s="165" t="inlineStr">
        <is>
          <t>ed0b7d1a29b77eda2c8acfc4f14a303ced6ced223efa3ae33d76f396fd00308a</t>
        </is>
      </c>
      <c r="I182" s="165" t="inlineStr">
        <is>
          <t>VERIFIED</t>
        </is>
      </c>
      <c r="J182" s="166" t="inlineStr">
        <is>
          <t>https://service.tesla.com/docs/Model3/ElectricalReference/prog-333/locations/X927M.jpg</t>
        </is>
      </c>
    </row>
    <row r="183">
      <c r="A183" s="15" t="n">
        <v>182</v>
      </c>
      <c r="B183" s="165" t="inlineStr">
        <is>
          <t>X926M</t>
        </is>
      </c>
      <c r="C183" s="165" t="inlineStr">
        <is>
          <t>connector location image</t>
        </is>
      </c>
      <c r="D183" s="165" t="inlineStr">
        <is>
          <t>connectors/X926M/location.jpg</t>
        </is>
      </c>
      <c r="E183" s="165" t="inlineStr">
        <is>
          <t>image/jpeg</t>
        </is>
      </c>
      <c r="F183" s="165" t="n">
        <v>385623</v>
      </c>
      <c r="G183" s="165" t="n">
        <v>200</v>
      </c>
      <c r="H183" s="165" t="inlineStr">
        <is>
          <t>9327e58893770b1e474aaf0cebd9c0772055025dc82dfb6723945f8a821e6cfa</t>
        </is>
      </c>
      <c r="I183" s="165" t="inlineStr">
        <is>
          <t>VERIFIED</t>
        </is>
      </c>
      <c r="J183" s="166" t="inlineStr">
        <is>
          <t>https://service.tesla.com/docs/Model3/ElectricalReference/prog-333/locations/X926M.jpg</t>
        </is>
      </c>
    </row>
    <row r="184">
      <c r="A184" s="15" t="n">
        <v>183</v>
      </c>
      <c r="B184" s="165" t="inlineStr">
        <is>
          <t>X936F</t>
        </is>
      </c>
      <c r="C184" s="165" t="inlineStr">
        <is>
          <t>connector location image</t>
        </is>
      </c>
      <c r="D184" s="165" t="inlineStr">
        <is>
          <t>connectors/X936F/location.jpg</t>
        </is>
      </c>
      <c r="E184" s="165" t="inlineStr">
        <is>
          <t>image/jpeg</t>
        </is>
      </c>
      <c r="F184" s="165" t="n">
        <v>451070</v>
      </c>
      <c r="G184" s="165" t="n">
        <v>200</v>
      </c>
      <c r="H184" s="165" t="inlineStr">
        <is>
          <t>ff0e2265c786f937443cdacb9b564a390f9a64ec24a6dd9c67c4119f40cac403</t>
        </is>
      </c>
      <c r="I184" s="165" t="inlineStr">
        <is>
          <t>VERIFIED</t>
        </is>
      </c>
      <c r="J184" s="166" t="inlineStr">
        <is>
          <t>https://service.tesla.com/docs/Model3/ElectricalReference/prog-333/locations/X936F.jpg</t>
        </is>
      </c>
    </row>
    <row r="185">
      <c r="A185" s="15" t="n">
        <v>184</v>
      </c>
      <c r="B185" s="165" t="inlineStr">
        <is>
          <t>X935F</t>
        </is>
      </c>
      <c r="C185" s="165" t="inlineStr">
        <is>
          <t>connector location image</t>
        </is>
      </c>
      <c r="D185" s="165" t="inlineStr">
        <is>
          <t>connectors/X935F/location.jpg</t>
        </is>
      </c>
      <c r="E185" s="165" t="inlineStr">
        <is>
          <t>image/jpeg</t>
        </is>
      </c>
      <c r="F185" s="165" t="n">
        <v>450655</v>
      </c>
      <c r="G185" s="165" t="n">
        <v>200</v>
      </c>
      <c r="H185" s="165" t="inlineStr">
        <is>
          <t>770e98bd9dec756f8453016740d0c1db653f2d0dc5890f647a4be83f66f90dd8</t>
        </is>
      </c>
      <c r="I185" s="165" t="inlineStr">
        <is>
          <t>VERIFIED</t>
        </is>
      </c>
      <c r="J185" s="166" t="inlineStr">
        <is>
          <t>https://service.tesla.com/docs/Model3/ElectricalReference/prog-333/locations/X935F.jpg</t>
        </is>
      </c>
    </row>
    <row r="186">
      <c r="A186" s="15" t="n">
        <v>185</v>
      </c>
      <c r="B186" s="165" t="inlineStr">
        <is>
          <t>X935M</t>
        </is>
      </c>
      <c r="C186" s="165" t="inlineStr">
        <is>
          <t>connector location image</t>
        </is>
      </c>
      <c r="D186" s="165" t="inlineStr">
        <is>
          <t>connectors/X935M/location.jpg</t>
        </is>
      </c>
      <c r="E186" s="165" t="inlineStr">
        <is>
          <t>image/jpeg</t>
        </is>
      </c>
      <c r="F186" s="165" t="n">
        <v>427394</v>
      </c>
      <c r="G186" s="165" t="n">
        <v>200</v>
      </c>
      <c r="H186" s="165" t="inlineStr">
        <is>
          <t>f7c83fb38f1e0e4db9650554de4faf5daa484aad7d8f6a1337a8c13b8f0bf1fb</t>
        </is>
      </c>
      <c r="I186" s="165" t="inlineStr">
        <is>
          <t>VERIFIED</t>
        </is>
      </c>
      <c r="J186" s="166" t="inlineStr">
        <is>
          <t>https://service.tesla.com/docs/Model3/ElectricalReference/prog-333/locations/X935M.jpg</t>
        </is>
      </c>
    </row>
    <row r="187">
      <c r="A187" s="15" t="n">
        <v>186</v>
      </c>
      <c r="B187" s="165" t="inlineStr">
        <is>
          <t>X936M</t>
        </is>
      </c>
      <c r="C187" s="165" t="inlineStr">
        <is>
          <t>connector location image</t>
        </is>
      </c>
      <c r="D187" s="165" t="inlineStr">
        <is>
          <t>connectors/X936M/location.jpg</t>
        </is>
      </c>
      <c r="E187" s="165" t="inlineStr">
        <is>
          <t>image/jpeg</t>
        </is>
      </c>
      <c r="F187" s="165" t="n">
        <v>427104</v>
      </c>
      <c r="G187" s="165" t="n">
        <v>200</v>
      </c>
      <c r="H187" s="165" t="inlineStr">
        <is>
          <t>e465fa37d99a611f20ac3865bab98d74dd6ec453a4419052f085850d5eda5646</t>
        </is>
      </c>
      <c r="I187" s="165" t="inlineStr">
        <is>
          <t>VERIFIED</t>
        </is>
      </c>
      <c r="J187" s="166" t="inlineStr">
        <is>
          <t>https://service.tesla.com/docs/Model3/ElectricalReference/prog-333/locations/X936M.jpg</t>
        </is>
      </c>
    </row>
    <row r="188">
      <c r="A188" s="15" t="n">
        <v>187</v>
      </c>
      <c r="B188" s="165" t="inlineStr">
        <is>
          <t>X949M</t>
        </is>
      </c>
      <c r="C188" s="165" t="inlineStr">
        <is>
          <t>connector location image</t>
        </is>
      </c>
      <c r="D188" s="165" t="inlineStr">
        <is>
          <t>connectors/X949M/location.jpg</t>
        </is>
      </c>
      <c r="E188" s="165" t="inlineStr">
        <is>
          <t>image/jpeg</t>
        </is>
      </c>
      <c r="F188" s="165" t="n">
        <v>347240</v>
      </c>
      <c r="G188" s="165" t="n">
        <v>200</v>
      </c>
      <c r="H188" s="165" t="inlineStr">
        <is>
          <t>e52ffc6832260119f60323dc5aa23dc81b87a5c00f20fffcf0923685318ba7df</t>
        </is>
      </c>
      <c r="I188" s="165" t="inlineStr">
        <is>
          <t>VERIFIED</t>
        </is>
      </c>
      <c r="J188" s="166" t="inlineStr">
        <is>
          <t>https://service.tesla.com/docs/Model3/ElectricalReference/prog-333/locations/X949M.jpg</t>
        </is>
      </c>
    </row>
    <row r="189">
      <c r="A189" s="15" t="n">
        <v>188</v>
      </c>
      <c r="B189" s="165" t="inlineStr">
        <is>
          <t>X949F</t>
        </is>
      </c>
      <c r="C189" s="165" t="inlineStr">
        <is>
          <t>connector location image</t>
        </is>
      </c>
      <c r="D189" s="165" t="inlineStr">
        <is>
          <t>connectors/X949F/location.jpg</t>
        </is>
      </c>
      <c r="E189" s="165" t="inlineStr">
        <is>
          <t>image/jpeg</t>
        </is>
      </c>
      <c r="F189" s="165" t="n">
        <v>277444</v>
      </c>
      <c r="G189" s="165" t="n">
        <v>200</v>
      </c>
      <c r="H189" s="165" t="inlineStr">
        <is>
          <t>cae5badb39898743f20b3e748cef5d41eddbe7a34c79d3e3dfbe0a8a902af453</t>
        </is>
      </c>
      <c r="I189" s="165" t="inlineStr">
        <is>
          <t>VERIFIED</t>
        </is>
      </c>
      <c r="J189" s="166" t="inlineStr">
        <is>
          <t>https://service.tesla.com/docs/Model3/ElectricalReference/prog-333/locations/X949F.jpg</t>
        </is>
      </c>
    </row>
    <row r="190">
      <c r="A190" s="15" t="n">
        <v>189</v>
      </c>
      <c r="B190" s="165" t="inlineStr">
        <is>
          <t>X952F</t>
        </is>
      </c>
      <c r="C190" s="165" t="inlineStr">
        <is>
          <t>connector location image</t>
        </is>
      </c>
      <c r="D190" s="165" t="inlineStr">
        <is>
          <t>connectors/X952F/location.jpg</t>
        </is>
      </c>
      <c r="E190" s="165" t="inlineStr">
        <is>
          <t>image/jpeg</t>
        </is>
      </c>
      <c r="F190" s="165" t="n">
        <v>336474</v>
      </c>
      <c r="G190" s="165" t="n">
        <v>200</v>
      </c>
      <c r="H190" s="165" t="inlineStr">
        <is>
          <t>b8cd7191d9046450d67df20144252fb558419ace6e37424bd22e04e55fa8c109</t>
        </is>
      </c>
      <c r="I190" s="165" t="inlineStr">
        <is>
          <t>VERIFIED</t>
        </is>
      </c>
      <c r="J190" s="166" t="inlineStr">
        <is>
          <t>https://service.tesla.com/docs/Model3/ElectricalReference/prog-333/locations/X952F.jpg</t>
        </is>
      </c>
    </row>
    <row r="191">
      <c r="A191" s="15" t="n">
        <v>190</v>
      </c>
      <c r="B191" s="165" t="inlineStr">
        <is>
          <t>X970F</t>
        </is>
      </c>
      <c r="C191" s="165" t="inlineStr">
        <is>
          <t>connector location image</t>
        </is>
      </c>
      <c r="D191" s="165" t="inlineStr">
        <is>
          <t>connectors/X970F/location.jpg</t>
        </is>
      </c>
      <c r="E191" s="165" t="inlineStr">
        <is>
          <t>image/jpeg</t>
        </is>
      </c>
      <c r="F191" s="165" t="n">
        <v>94500</v>
      </c>
      <c r="G191" s="165" t="n">
        <v>200</v>
      </c>
      <c r="H191" s="165" t="inlineStr">
        <is>
          <t>c522ca63d825b4cfe52067c2fe8b802903fcb27eaf4247209c4e153139f7baa9</t>
        </is>
      </c>
      <c r="I191" s="165" t="inlineStr">
        <is>
          <t>VERIFIED</t>
        </is>
      </c>
      <c r="J191" s="166" t="inlineStr">
        <is>
          <t>https://service.tesla.com/docs/Model3/ElectricalReference/prog-333/locations/X970F.jpg</t>
        </is>
      </c>
    </row>
    <row r="192">
      <c r="A192" s="15" t="n">
        <v>191</v>
      </c>
      <c r="B192" s="165" t="inlineStr">
        <is>
          <t>X970M</t>
        </is>
      </c>
      <c r="C192" s="165" t="inlineStr">
        <is>
          <t>connector location image</t>
        </is>
      </c>
      <c r="D192" s="165" t="inlineStr">
        <is>
          <t>connectors/X970M/location.jpg</t>
        </is>
      </c>
      <c r="E192" s="165" t="inlineStr">
        <is>
          <t>image/jpeg</t>
        </is>
      </c>
      <c r="F192" s="165" t="n">
        <v>365303</v>
      </c>
      <c r="G192" s="165" t="n">
        <v>200</v>
      </c>
      <c r="H192" s="165" t="inlineStr">
        <is>
          <t>77c6d7167a10cfb6c162f6cce11dca3ff79463b3eec63a990c2f01026ed8d81e</t>
        </is>
      </c>
      <c r="I192" s="165" t="inlineStr">
        <is>
          <t>VERIFIED</t>
        </is>
      </c>
      <c r="J192" s="166" t="inlineStr">
        <is>
          <t>https://service.tesla.com/docs/Model3/ElectricalReference/prog-333/locations/X970M.jpg</t>
        </is>
      </c>
    </row>
    <row r="193">
      <c r="A193" s="15" t="n">
        <v>192</v>
      </c>
      <c r="B193" s="165" t="inlineStr">
        <is>
          <t>X952M</t>
        </is>
      </c>
      <c r="C193" s="165" t="inlineStr">
        <is>
          <t>connector location image</t>
        </is>
      </c>
      <c r="D193" s="165" t="inlineStr">
        <is>
          <t>connectors/X952M/location.jpg</t>
        </is>
      </c>
      <c r="E193" s="165" t="inlineStr">
        <is>
          <t>image/jpeg</t>
        </is>
      </c>
      <c r="F193" s="165" t="n">
        <v>346599</v>
      </c>
      <c r="G193" s="165" t="n">
        <v>200</v>
      </c>
      <c r="H193" s="165" t="inlineStr">
        <is>
          <t>83adc361707aa7a64db3223754c62c4c0571cdaa2ee70f3f20fb67cee1667d5b</t>
        </is>
      </c>
      <c r="I193" s="165" t="inlineStr">
        <is>
          <t>VERIFIED</t>
        </is>
      </c>
      <c r="J193" s="166" t="inlineStr">
        <is>
          <t>https://service.tesla.com/docs/Model3/ElectricalReference/prog-333/locations/X952M.jpg</t>
        </is>
      </c>
    </row>
    <row r="194">
      <c r="A194" s="15" t="n">
        <v>193</v>
      </c>
      <c r="B194" s="165" t="inlineStr">
        <is>
          <t>X981F</t>
        </is>
      </c>
      <c r="C194" s="165" t="inlineStr">
        <is>
          <t>connector location image</t>
        </is>
      </c>
      <c r="D194" s="165" t="inlineStr">
        <is>
          <t>connectors/X981F/location.jpg</t>
        </is>
      </c>
      <c r="E194" s="165" t="inlineStr">
        <is>
          <t>image/jpeg</t>
        </is>
      </c>
      <c r="F194" s="165" t="n">
        <v>265184</v>
      </c>
      <c r="G194" s="165" t="n">
        <v>200</v>
      </c>
      <c r="H194" s="165" t="inlineStr">
        <is>
          <t>5b8198d5ec75204da95b97fe788b803129af104dd5b9d0f09fc8744b84324317</t>
        </is>
      </c>
      <c r="I194" s="165" t="inlineStr">
        <is>
          <t>VERIFIED</t>
        </is>
      </c>
      <c r="J194" s="166" t="inlineStr">
        <is>
          <t>https://service.tesla.com/docs/Model3/ElectricalReference/prog-333/locations/X981F.jpg</t>
        </is>
      </c>
    </row>
    <row r="195">
      <c r="A195" s="15" t="n">
        <v>194</v>
      </c>
      <c r="B195" s="165" t="inlineStr">
        <is>
          <t>X010</t>
        </is>
      </c>
      <c r="C195" s="165" t="inlineStr">
        <is>
          <t>terminal faceview</t>
        </is>
      </c>
      <c r="D195" s="165" t="inlineStr">
        <is>
          <t>faceviews/delphi_35550570.svg</t>
        </is>
      </c>
      <c r="E195" s="165" t="inlineStr">
        <is>
          <t>image/svg+xml</t>
        </is>
      </c>
      <c r="F195" s="165" t="n">
        <v>68455</v>
      </c>
      <c r="G195" s="165" t="n">
        <v>200</v>
      </c>
      <c r="H195" s="165" t="inlineStr">
        <is>
          <t>5816156461b1723bd9da3f6862fd627fb22e3f9c8bda138aa0e748dd3986177d</t>
        </is>
      </c>
      <c r="I195" s="165" t="inlineStr">
        <is>
          <t>VERIFIED</t>
        </is>
      </c>
      <c r="J195" s="166" t="inlineStr">
        <is>
          <t>https://service.tesla.com/docs/Model3/ElectricalReference/prog-333/faceviews/delphi_35550570.svg</t>
        </is>
      </c>
    </row>
    <row r="196">
      <c r="A196" s="15" t="n">
        <v>195</v>
      </c>
      <c r="B196" s="165" t="inlineStr">
        <is>
          <t>X030A</t>
        </is>
      </c>
      <c r="C196" s="165" t="inlineStr">
        <is>
          <t>terminal faceview</t>
        </is>
      </c>
      <c r="D196" s="165" t="inlineStr">
        <is>
          <t>faceviews/sumitomo_6098-8950.svg</t>
        </is>
      </c>
      <c r="E196" s="165" t="inlineStr">
        <is>
          <t>image/svg+xml</t>
        </is>
      </c>
      <c r="F196" s="165" t="n">
        <v>10388</v>
      </c>
      <c r="G196" s="165" t="n">
        <v>200</v>
      </c>
      <c r="H196" s="165" t="inlineStr">
        <is>
          <t>d0e2d3a3248edf06653d13af3faf1209343c28a51c7e0bacc941861aa80a2447</t>
        </is>
      </c>
      <c r="I196" s="165" t="inlineStr">
        <is>
          <t>VERIFIED</t>
        </is>
      </c>
      <c r="J196" s="166" t="inlineStr">
        <is>
          <t>https://service.tesla.com/docs/Model3/ElectricalReference/prog-333/faceviews/sumitomo_6098-8950.svg</t>
        </is>
      </c>
    </row>
    <row r="197">
      <c r="A197" s="15" t="n">
        <v>196</v>
      </c>
      <c r="B197" s="165" t="inlineStr">
        <is>
          <t>X981M</t>
        </is>
      </c>
      <c r="C197" s="165" t="inlineStr">
        <is>
          <t>connector location image</t>
        </is>
      </c>
      <c r="D197" s="165" t="inlineStr">
        <is>
          <t>connectors/X981M/location.jpg</t>
        </is>
      </c>
      <c r="E197" s="165" t="inlineStr">
        <is>
          <t>image/jpeg</t>
        </is>
      </c>
      <c r="F197" s="165" t="n">
        <v>357040</v>
      </c>
      <c r="G197" s="165" t="n">
        <v>200</v>
      </c>
      <c r="H197" s="165" t="inlineStr">
        <is>
          <t>62727c7a3addb9ff7b8ef114ad654b965720a6ac6ec9c8367f4cb7211876d2e1</t>
        </is>
      </c>
      <c r="I197" s="165" t="inlineStr">
        <is>
          <t>VERIFIED</t>
        </is>
      </c>
      <c r="J197" s="166" t="inlineStr">
        <is>
          <t>https://service.tesla.com/docs/Model3/ElectricalReference/prog-333/locations/X981M.jpg</t>
        </is>
      </c>
    </row>
    <row r="198">
      <c r="A198" s="15" t="n">
        <v>197</v>
      </c>
      <c r="B198" s="165" t="inlineStr">
        <is>
          <t>X031</t>
        </is>
      </c>
      <c r="C198" s="165" t="inlineStr">
        <is>
          <t>terminal faceview</t>
        </is>
      </c>
      <c r="D198" s="165" t="inlineStr">
        <is>
          <t>faceviews/sumitomo_6098-8975.svg</t>
        </is>
      </c>
      <c r="E198" s="165" t="inlineStr">
        <is>
          <t>image/svg+xml</t>
        </is>
      </c>
      <c r="F198" s="165" t="n">
        <v>16865</v>
      </c>
      <c r="G198" s="165" t="n">
        <v>200</v>
      </c>
      <c r="H198" s="165" t="inlineStr">
        <is>
          <t>f3ccae20d9a16366f437010e7c775f3cc5cd7d0b9e3db3a10e0754fff01ec0e5</t>
        </is>
      </c>
      <c r="I198" s="165" t="inlineStr">
        <is>
          <t>VERIFIED</t>
        </is>
      </c>
      <c r="J198" s="166" t="inlineStr">
        <is>
          <t>https://service.tesla.com/docs/Model3/ElectricalReference/prog-333/faceviews/sumitomo_6098-8975.svg</t>
        </is>
      </c>
    </row>
    <row r="199">
      <c r="A199" s="15" t="n">
        <v>198</v>
      </c>
      <c r="B199" s="165" t="inlineStr">
        <is>
          <t>X030B</t>
        </is>
      </c>
      <c r="C199" s="165" t="inlineStr">
        <is>
          <t>terminal faceview</t>
        </is>
      </c>
      <c r="D199" s="165" t="inlineStr">
        <is>
          <t>faceviews/sumitomo_6098-8947.svg</t>
        </is>
      </c>
      <c r="E199" s="165" t="inlineStr">
        <is>
          <t>image/svg+xml</t>
        </is>
      </c>
      <c r="F199" s="165" t="n">
        <v>4375</v>
      </c>
      <c r="G199" s="165" t="n">
        <v>200</v>
      </c>
      <c r="H199" s="165" t="inlineStr">
        <is>
          <t>2acbb11405cb286702d423eb24f0ad962615deb58ba89bec484730139d5c67e9</t>
        </is>
      </c>
      <c r="I199" s="165" t="inlineStr">
        <is>
          <t>VERIFIED</t>
        </is>
      </c>
      <c r="J199" s="166" t="inlineStr">
        <is>
          <t>https://service.tesla.com/docs/Model3/ElectricalReference/prog-333/faceviews/sumitomo_6098-8947.svg</t>
        </is>
      </c>
    </row>
    <row r="200">
      <c r="A200" s="15" t="n">
        <v>199</v>
      </c>
      <c r="B200" s="165" t="inlineStr">
        <is>
          <t>X032</t>
        </is>
      </c>
      <c r="C200" s="165" t="inlineStr">
        <is>
          <t>terminal faceview</t>
        </is>
      </c>
      <c r="D200" s="165" t="inlineStr">
        <is>
          <t>faceviews/sumitomo_6098-8119.svg</t>
        </is>
      </c>
      <c r="E200" s="165" t="inlineStr">
        <is>
          <t>image/svg+xml</t>
        </is>
      </c>
      <c r="F200" s="165" t="n">
        <v>17549</v>
      </c>
      <c r="G200" s="165" t="n">
        <v>200</v>
      </c>
      <c r="H200" s="165" t="inlineStr">
        <is>
          <t>9cf68c52ab34fc2c7c8748652dfa2b86aebf26826e2f6abdf3f16973865c6b8f</t>
        </is>
      </c>
      <c r="I200" s="165" t="inlineStr">
        <is>
          <t>VERIFIED</t>
        </is>
      </c>
      <c r="J200" s="166" t="inlineStr">
        <is>
          <t>https://service.tesla.com/docs/Model3/ElectricalReference/prog-333/faceviews/sumitomo_6098-8119.svg</t>
        </is>
      </c>
    </row>
    <row r="201">
      <c r="A201" s="15" t="n">
        <v>200</v>
      </c>
      <c r="B201" s="165" t="inlineStr">
        <is>
          <t>X033A</t>
        </is>
      </c>
      <c r="C201" s="165" t="inlineStr">
        <is>
          <t>terminal faceview</t>
        </is>
      </c>
      <c r="D201" s="165" t="inlineStr">
        <is>
          <t>faceviews/yazaki_7287-1673.svg</t>
        </is>
      </c>
      <c r="E201" s="165" t="inlineStr">
        <is>
          <t>image/svg+xml</t>
        </is>
      </c>
      <c r="F201" s="165" t="n">
        <v>7854</v>
      </c>
      <c r="G201" s="165" t="n">
        <v>200</v>
      </c>
      <c r="H201" s="165" t="inlineStr">
        <is>
          <t>397a0fac75f6a7e02438634ba8d63495380a7a9928b64691f99b52a293663ac5</t>
        </is>
      </c>
      <c r="I201" s="165" t="inlineStr">
        <is>
          <t>VERIFIED</t>
        </is>
      </c>
      <c r="J201" s="166" t="inlineStr">
        <is>
          <t>https://service.tesla.com/docs/Model3/ElectricalReference/prog-333/faceviews/yazaki_7287-1673.svg</t>
        </is>
      </c>
    </row>
    <row r="202">
      <c r="A202" s="15" t="n">
        <v>201</v>
      </c>
      <c r="B202" s="165" t="inlineStr">
        <is>
          <t>X033B</t>
        </is>
      </c>
      <c r="C202" s="165" t="inlineStr">
        <is>
          <t>terminal faceview</t>
        </is>
      </c>
      <c r="D202" s="165" t="inlineStr">
        <is>
          <t>faceviews/yazaki_7287-1674.svg</t>
        </is>
      </c>
      <c r="E202" s="165" t="inlineStr">
        <is>
          <t>image/svg+xml</t>
        </is>
      </c>
      <c r="F202" s="165" t="n">
        <v>7540</v>
      </c>
      <c r="G202" s="165" t="n">
        <v>200</v>
      </c>
      <c r="H202" s="165" t="inlineStr">
        <is>
          <t>4426592e267994c0cfa6c2737580f4606ce972c148a9429ecc5d2d81e33b14cd</t>
        </is>
      </c>
      <c r="I202" s="165" t="inlineStr">
        <is>
          <t>VERIFIED</t>
        </is>
      </c>
      <c r="J202" s="166" t="inlineStr">
        <is>
          <t>https://service.tesla.com/docs/Model3/ElectricalReference/prog-333/faceviews/yazaki_7287-1674.svg</t>
        </is>
      </c>
    </row>
    <row r="203">
      <c r="A203" s="15" t="n">
        <v>202</v>
      </c>
      <c r="B203" s="165" t="inlineStr">
        <is>
          <t>X037</t>
        </is>
      </c>
      <c r="C203" s="165" t="inlineStr">
        <is>
          <t>terminal faceview</t>
        </is>
      </c>
      <c r="D203" s="165" t="inlineStr">
        <is>
          <t>faceviews/sumitomo_6098-4756.svg</t>
        </is>
      </c>
      <c r="E203" s="165" t="inlineStr">
        <is>
          <t>image/svg+xml</t>
        </is>
      </c>
      <c r="F203" s="165" t="n">
        <v>9521</v>
      </c>
      <c r="G203" s="165" t="n">
        <v>200</v>
      </c>
      <c r="H203" s="165" t="inlineStr">
        <is>
          <t>b138c3f132bca116b961e17a820eedaf03ee41a782497b7b39c811c819da3a0a</t>
        </is>
      </c>
      <c r="I203" s="165" t="inlineStr">
        <is>
          <t>VERIFIED</t>
        </is>
      </c>
      <c r="J203" s="166" t="inlineStr">
        <is>
          <t>https://service.tesla.com/docs/Model3/ElectricalReference/prog-333/faceviews/sumitomo_6098-4756.svg</t>
        </is>
      </c>
    </row>
    <row r="204">
      <c r="A204" s="15" t="n">
        <v>203</v>
      </c>
      <c r="B204" s="165" t="inlineStr">
        <is>
          <t>X038</t>
        </is>
      </c>
      <c r="C204" s="165" t="inlineStr">
        <is>
          <t>terminal faceview</t>
        </is>
      </c>
      <c r="D204" s="165" t="inlineStr">
        <is>
          <t>faceviews/yazaki_7283-6469-40.svg</t>
        </is>
      </c>
      <c r="E204" s="165" t="inlineStr">
        <is>
          <t>image/svg+xml</t>
        </is>
      </c>
      <c r="F204" s="165" t="n">
        <v>4031</v>
      </c>
      <c r="G204" s="165" t="n">
        <v>200</v>
      </c>
      <c r="H204" s="165" t="inlineStr">
        <is>
          <t>311f87e6170994dff4dc00ce151512cc49480723702dfcc5c3438effaf0044f7</t>
        </is>
      </c>
      <c r="I204" s="165" t="inlineStr">
        <is>
          <t>VERIFIED</t>
        </is>
      </c>
      <c r="J204" s="166" t="inlineStr">
        <is>
          <t>https://service.tesla.com/docs/Model3/ElectricalReference/prog-333/faceviews/yazaki_7283-6469-40.svg</t>
        </is>
      </c>
    </row>
    <row r="205">
      <c r="A205" s="15" t="n">
        <v>204</v>
      </c>
      <c r="B205" s="165" t="inlineStr">
        <is>
          <t>X055</t>
        </is>
      </c>
      <c r="C205" s="165" t="inlineStr">
        <is>
          <t>terminal faceview</t>
        </is>
      </c>
      <c r="D205" s="165" t="inlineStr">
        <is>
          <t>faceviews/sumitomo_6098-4831.svg</t>
        </is>
      </c>
      <c r="E205" s="165" t="inlineStr">
        <is>
          <t>image/svg+xml</t>
        </is>
      </c>
      <c r="F205" s="165" t="n">
        <v>13165</v>
      </c>
      <c r="G205" s="165" t="n">
        <v>200</v>
      </c>
      <c r="H205" s="165" t="inlineStr">
        <is>
          <t>e4f7bf39cf451d8fd671468980a724f5ce817e48dea32e080e22b84f755be237</t>
        </is>
      </c>
      <c r="I205" s="165" t="inlineStr">
        <is>
          <t>VERIFIED</t>
        </is>
      </c>
      <c r="J205" s="166" t="inlineStr">
        <is>
          <t>https://service.tesla.com/docs/Model3/ElectricalReference/prog-333/faceviews/sumitomo_6098-4831.svg</t>
        </is>
      </c>
    </row>
    <row r="206">
      <c r="A206" s="15" t="n">
        <v>205</v>
      </c>
      <c r="B206" s="165" t="inlineStr">
        <is>
          <t>X050</t>
        </is>
      </c>
      <c r="C206" s="165" t="inlineStr">
        <is>
          <t>terminal faceview</t>
        </is>
      </c>
      <c r="D206" s="165" t="inlineStr">
        <is>
          <t>faceviews/yazaki_7289-4104-40.svg</t>
        </is>
      </c>
      <c r="E206" s="165" t="inlineStr">
        <is>
          <t>image/svg+xml</t>
        </is>
      </c>
      <c r="F206" s="165" t="n">
        <v>19778</v>
      </c>
      <c r="G206" s="165" t="n">
        <v>200</v>
      </c>
      <c r="H206" s="165" t="inlineStr">
        <is>
          <t>73b80f7dfa908406774c2672b8eb7f70def674792f13fa7096747975946086a1</t>
        </is>
      </c>
      <c r="I206" s="165" t="inlineStr">
        <is>
          <t>VERIFIED</t>
        </is>
      </c>
      <c r="J206" s="166" t="inlineStr">
        <is>
          <t>https://service.tesla.com/docs/Model3/ElectricalReference/prog-333/faceviews/yazaki_7289-4104-40.svg</t>
        </is>
      </c>
    </row>
    <row r="207">
      <c r="A207" s="15" t="n">
        <v>206</v>
      </c>
      <c r="B207" s="165" t="inlineStr">
        <is>
          <t>X056</t>
        </is>
      </c>
      <c r="C207" s="165" t="inlineStr">
        <is>
          <t>terminal faceview</t>
        </is>
      </c>
      <c r="D207" s="165" t="inlineStr">
        <is>
          <t>faceviews/kse_k20f70101.svg</t>
        </is>
      </c>
      <c r="E207" s="165" t="inlineStr">
        <is>
          <t>image/svg+xml</t>
        </is>
      </c>
      <c r="F207" s="165" t="n">
        <v>63258</v>
      </c>
      <c r="G207" s="165" t="n">
        <v>200</v>
      </c>
      <c r="H207" s="165" t="inlineStr">
        <is>
          <t>94c99e483915118a3708f3b6f89ac3cee8ab03d1111e92428546be3aadcc19e3</t>
        </is>
      </c>
      <c r="I207" s="165" t="inlineStr">
        <is>
          <t>VERIFIED</t>
        </is>
      </c>
      <c r="J207" s="166" t="inlineStr">
        <is>
          <t>https://service.tesla.com/docs/Model3/ElectricalReference/prog-333/faceviews/kse_k20f70101.svg</t>
        </is>
      </c>
    </row>
    <row r="208">
      <c r="A208" s="15" t="n">
        <v>207</v>
      </c>
      <c r="B208" s="165" t="inlineStr">
        <is>
          <t>X060</t>
        </is>
      </c>
      <c r="C208" s="165" t="inlineStr">
        <is>
          <t>terminal faceview</t>
        </is>
      </c>
      <c r="D208" s="165" t="inlineStr">
        <is>
          <t>faceviews/kse_k20f02011.svg</t>
        </is>
      </c>
      <c r="E208" s="165" t="inlineStr">
        <is>
          <t>image/svg+xml</t>
        </is>
      </c>
      <c r="F208" s="165" t="n">
        <v>11678</v>
      </c>
      <c r="G208" s="165" t="n">
        <v>200</v>
      </c>
      <c r="H208" s="165" t="inlineStr">
        <is>
          <t>1dbaca0b7610916a15abf343a4241079b91c20b3af8b7c2cd7faab8afa5aabd4</t>
        </is>
      </c>
      <c r="I208" s="165" t="inlineStr">
        <is>
          <t>VERIFIED</t>
        </is>
      </c>
      <c r="J208" s="166" t="inlineStr">
        <is>
          <t>https://service.tesla.com/docs/Model3/ElectricalReference/prog-333/faceviews/kse_k20f02011.svg</t>
        </is>
      </c>
    </row>
    <row r="209">
      <c r="A209" s="15" t="n">
        <v>208</v>
      </c>
      <c r="B209" s="165" t="inlineStr">
        <is>
          <t>X120</t>
        </is>
      </c>
      <c r="C209" s="165" t="inlineStr">
        <is>
          <t>terminal faceview</t>
        </is>
      </c>
      <c r="D209" s="165" t="inlineStr">
        <is>
          <t>faceviews/sumitomo_6099-0401.svg</t>
        </is>
      </c>
      <c r="E209" s="165" t="inlineStr">
        <is>
          <t>image/svg+xml</t>
        </is>
      </c>
      <c r="F209" s="165" t="n">
        <v>17511</v>
      </c>
      <c r="G209" s="165" t="n">
        <v>200</v>
      </c>
      <c r="H209" s="165" t="inlineStr">
        <is>
          <t>525fdba15e34ebb99f1845f8c5f406f87d91a3e00b7adde98733b0c0af3cfa8f</t>
        </is>
      </c>
      <c r="I209" s="165" t="inlineStr">
        <is>
          <t>VERIFIED</t>
        </is>
      </c>
      <c r="J209" s="166" t="inlineStr">
        <is>
          <t>https://service.tesla.com/docs/Model3/ElectricalReference/prog-333/faceviews/sumitomo_6099-0401.svg</t>
        </is>
      </c>
    </row>
    <row r="210">
      <c r="A210" s="15" t="n">
        <v>209</v>
      </c>
      <c r="B210" s="165" t="inlineStr">
        <is>
          <t>X057</t>
        </is>
      </c>
      <c r="C210" s="165" t="inlineStr">
        <is>
          <t>terminal faceview</t>
        </is>
      </c>
      <c r="D210" s="165" t="inlineStr">
        <is>
          <t>faceviews/kse_k20f01223.svg</t>
        </is>
      </c>
      <c r="E210" s="165" t="inlineStr">
        <is>
          <t>image/svg+xml</t>
        </is>
      </c>
      <c r="F210" s="165" t="n">
        <v>37878</v>
      </c>
      <c r="G210" s="165" t="n">
        <v>200</v>
      </c>
      <c r="H210" s="165" t="inlineStr">
        <is>
          <t>6aa419c26ab83bdba8c3b8ac50752d4e5f3ba1596be7529029215073cf6b871b</t>
        </is>
      </c>
      <c r="I210" s="165" t="inlineStr">
        <is>
          <t>VERIFIED</t>
        </is>
      </c>
      <c r="J210" s="166" t="inlineStr">
        <is>
          <t>https://service.tesla.com/docs/Model3/ElectricalReference/prog-333/faceviews/kse_k20f01223.svg</t>
        </is>
      </c>
    </row>
    <row r="211">
      <c r="A211" s="15" t="n">
        <v>210</v>
      </c>
      <c r="B211" s="165" t="inlineStr">
        <is>
          <t>X155A</t>
        </is>
      </c>
      <c r="C211" s="165" t="inlineStr">
        <is>
          <t>terminal faceview</t>
        </is>
      </c>
      <c r="D211" s="165" t="inlineStr">
        <is>
          <t>faceviews/molex_33482-4801.svg</t>
        </is>
      </c>
      <c r="E211" s="165" t="inlineStr">
        <is>
          <t>image/svg+xml</t>
        </is>
      </c>
      <c r="F211" s="165" t="n">
        <v>8627</v>
      </c>
      <c r="G211" s="165" t="n">
        <v>200</v>
      </c>
      <c r="H211" s="165" t="inlineStr">
        <is>
          <t>3f66790f0f73910570c9747ee13bfe2f83f233fd7bf0144b55e9061971564fc4</t>
        </is>
      </c>
      <c r="I211" s="165" t="inlineStr">
        <is>
          <t>VERIFIED</t>
        </is>
      </c>
      <c r="J211" s="166" t="inlineStr">
        <is>
          <t>https://service.tesla.com/docs/Model3/ElectricalReference/prog-333/faceviews/molex_33482-4801.svg</t>
        </is>
      </c>
    </row>
    <row r="212">
      <c r="A212" s="15" t="n">
        <v>211</v>
      </c>
      <c r="B212" s="165" t="inlineStr">
        <is>
          <t>X175</t>
        </is>
      </c>
      <c r="C212" s="165" t="inlineStr">
        <is>
          <t>terminal faceview</t>
        </is>
      </c>
      <c r="D212" s="165" t="inlineStr">
        <is>
          <t>faceviews/hirose_gt25-16ds-hu.svg</t>
        </is>
      </c>
      <c r="E212" s="165" t="inlineStr">
        <is>
          <t>image/svg+xml</t>
        </is>
      </c>
      <c r="F212" s="165" t="n">
        <v>10268</v>
      </c>
      <c r="G212" s="165" t="n">
        <v>200</v>
      </c>
      <c r="H212" s="165" t="inlineStr">
        <is>
          <t>da4b3b6a28c5964f07e2a0c3f36c4e48a38a15c911da6d7419389e308c7bb297</t>
        </is>
      </c>
      <c r="I212" s="165" t="inlineStr">
        <is>
          <t>VERIFIED</t>
        </is>
      </c>
      <c r="J212" s="166" t="inlineStr">
        <is>
          <t>https://service.tesla.com/docs/Model3/ElectricalReference/prog-333/faceviews/hirose_gt25-16ds-hu.svg</t>
        </is>
      </c>
    </row>
    <row r="213">
      <c r="A213" s="15" t="n">
        <v>212</v>
      </c>
      <c r="B213" s="165" t="inlineStr">
        <is>
          <t>X274</t>
        </is>
      </c>
      <c r="C213" s="165" t="inlineStr">
        <is>
          <t>terminal faceview</t>
        </is>
      </c>
      <c r="D213" s="165" t="inlineStr">
        <is>
          <t>faceviews/molex_5051510200.svg</t>
        </is>
      </c>
      <c r="E213" s="165" t="inlineStr">
        <is>
          <t>image/svg+xml</t>
        </is>
      </c>
      <c r="F213" s="165" t="n">
        <v>3262</v>
      </c>
      <c r="G213" s="165" t="n">
        <v>200</v>
      </c>
      <c r="H213" s="165" t="inlineStr">
        <is>
          <t>e317f7bd83c1405f5fba2cf4fe7aa08381ebd0f9c9ee8c038ca3771183520adc</t>
        </is>
      </c>
      <c r="I213" s="165" t="inlineStr">
        <is>
          <t>VERIFIED</t>
        </is>
      </c>
      <c r="J213" s="166" t="inlineStr">
        <is>
          <t>https://service.tesla.com/docs/Model3/ElectricalReference/prog-333/faceviews/molex_5051510200.svg</t>
        </is>
      </c>
    </row>
    <row r="214">
      <c r="A214" s="15" t="n">
        <v>213</v>
      </c>
      <c r="B214" s="165" t="inlineStr">
        <is>
          <t>X286</t>
        </is>
      </c>
      <c r="C214" s="165" t="inlineStr">
        <is>
          <t>terminal faceview</t>
        </is>
      </c>
      <c r="D214" s="165" t="inlineStr">
        <is>
          <t>faceviews/delphi_13623681.svg</t>
        </is>
      </c>
      <c r="E214" s="165" t="inlineStr">
        <is>
          <t>image/svg+xml</t>
        </is>
      </c>
      <c r="F214" s="165" t="n">
        <v>3863</v>
      </c>
      <c r="G214" s="165" t="n">
        <v>200</v>
      </c>
      <c r="H214" s="165" t="inlineStr">
        <is>
          <t>3d5235379cfd823e23051b9a6ff5046347dee481d4c1ac0c3905e5102cb15d45</t>
        </is>
      </c>
      <c r="I214" s="165" t="inlineStr">
        <is>
          <t>VERIFIED</t>
        </is>
      </c>
      <c r="J214" s="166" t="inlineStr">
        <is>
          <t>https://service.tesla.com/docs/Model3/ElectricalReference/prog-333/faceviews/delphi_13623681.svg</t>
        </is>
      </c>
    </row>
    <row r="215">
      <c r="A215" s="15" t="n">
        <v>214</v>
      </c>
      <c r="B215" s="165" t="inlineStr">
        <is>
          <t>X299</t>
        </is>
      </c>
      <c r="C215" s="165" t="inlineStr">
        <is>
          <t>terminal faceview</t>
        </is>
      </c>
      <c r="D215" s="165" t="inlineStr">
        <is>
          <t>faceviews/amp_2141404-1.svg</t>
        </is>
      </c>
      <c r="E215" s="165" t="inlineStr">
        <is>
          <t>image/svg+xml</t>
        </is>
      </c>
      <c r="F215" s="165" t="n">
        <v>15530</v>
      </c>
      <c r="G215" s="165" t="n">
        <v>200</v>
      </c>
      <c r="H215" s="165" t="inlineStr">
        <is>
          <t>39bdcd67c3bbbba422c2bebcc8c0f210d94c5ed8e16694c1d8f3af2ffe24335d</t>
        </is>
      </c>
      <c r="I215" s="165" t="inlineStr">
        <is>
          <t>VERIFIED</t>
        </is>
      </c>
      <c r="J215" s="166" t="inlineStr">
        <is>
          <t>https://service.tesla.com/docs/Model3/ElectricalReference/prog-333/faceviews/amp_2141404-1.svg</t>
        </is>
      </c>
    </row>
    <row r="216">
      <c r="A216" s="15" t="n">
        <v>215</v>
      </c>
      <c r="B216" s="165" t="inlineStr">
        <is>
          <t>X289</t>
        </is>
      </c>
      <c r="C216" s="165" t="inlineStr">
        <is>
          <t>terminal faceview</t>
        </is>
      </c>
      <c r="D216" s="165" t="inlineStr">
        <is>
          <t>faceviews/delphi_13649799.svg</t>
        </is>
      </c>
      <c r="E216" s="165" t="inlineStr">
        <is>
          <t>image/svg+xml</t>
        </is>
      </c>
      <c r="F216" s="165" t="n">
        <v>2670</v>
      </c>
      <c r="G216" s="165" t="n">
        <v>200</v>
      </c>
      <c r="H216" s="165" t="inlineStr">
        <is>
          <t>00d0e40b8ec4cc46b2e2a58fa4e43136315b68b09b442fb85584455b4a1640af</t>
        </is>
      </c>
      <c r="I216" s="165" t="inlineStr">
        <is>
          <t>VERIFIED</t>
        </is>
      </c>
      <c r="J216" s="166" t="inlineStr">
        <is>
          <t>https://service.tesla.com/docs/Model3/ElectricalReference/prog-333/faceviews/delphi_13649799.svg</t>
        </is>
      </c>
    </row>
    <row r="217">
      <c r="A217" s="15" t="n">
        <v>216</v>
      </c>
      <c r="B217" s="165" t="inlineStr">
        <is>
          <t>X561</t>
        </is>
      </c>
      <c r="C217" s="165" t="inlineStr">
        <is>
          <t>terminal faceview</t>
        </is>
      </c>
      <c r="D217" s="165" t="inlineStr">
        <is>
          <t>faceviews/yazaki_7283-6467-40.svg</t>
        </is>
      </c>
      <c r="E217" s="165" t="inlineStr">
        <is>
          <t>image/svg+xml</t>
        </is>
      </c>
      <c r="F217" s="165" t="n">
        <v>15017</v>
      </c>
      <c r="G217" s="165" t="n">
        <v>200</v>
      </c>
      <c r="H217" s="165" t="inlineStr">
        <is>
          <t>6d596c7bd6b80d27b3ce7700175f4d9c797bab6bfbe9f53488f065d5df2eb525</t>
        </is>
      </c>
      <c r="I217" s="165" t="inlineStr">
        <is>
          <t>VERIFIED</t>
        </is>
      </c>
      <c r="J217" s="166" t="inlineStr">
        <is>
          <t>https://service.tesla.com/docs/Model3/ElectricalReference/prog-333/faceviews/yazaki_7283-6467-40.svg</t>
        </is>
      </c>
    </row>
    <row r="218">
      <c r="A218" s="15" t="n">
        <v>217</v>
      </c>
      <c r="B218" s="165" t="inlineStr">
        <is>
          <t>X562</t>
        </is>
      </c>
      <c r="C218" s="165" t="inlineStr">
        <is>
          <t>terminal faceview</t>
        </is>
      </c>
      <c r="D218" s="165" t="inlineStr">
        <is>
          <t>faceviews/amp_2302475-2.svg</t>
        </is>
      </c>
      <c r="E218" s="165" t="inlineStr">
        <is>
          <t>image/svg+xml</t>
        </is>
      </c>
      <c r="F218" s="165" t="n">
        <v>5448</v>
      </c>
      <c r="G218" s="165" t="n">
        <v>200</v>
      </c>
      <c r="H218" s="165" t="inlineStr">
        <is>
          <t>82d9397c3070212ab8c5330710cb8616f5180f042c55471ef71a4922633f3c81</t>
        </is>
      </c>
      <c r="I218" s="165" t="inlineStr">
        <is>
          <t>VERIFIED</t>
        </is>
      </c>
      <c r="J218" s="166" t="inlineStr">
        <is>
          <t>https://service.tesla.com/docs/Model3/ElectricalReference/prog-333/faceviews/amp_2302475-2.svg</t>
        </is>
      </c>
    </row>
    <row r="219">
      <c r="A219" s="15" t="n">
        <v>218</v>
      </c>
      <c r="B219" s="165" t="inlineStr">
        <is>
          <t>X563</t>
        </is>
      </c>
      <c r="C219" s="165" t="inlineStr">
        <is>
          <t>terminal faceview</t>
        </is>
      </c>
      <c r="D219" s="165" t="inlineStr">
        <is>
          <t>faceviews/amp_2177586-1.svg</t>
        </is>
      </c>
      <c r="E219" s="165" t="inlineStr">
        <is>
          <t>image/svg+xml</t>
        </is>
      </c>
      <c r="F219" s="165" t="n">
        <v>11878</v>
      </c>
      <c r="G219" s="165" t="n">
        <v>200</v>
      </c>
      <c r="H219" s="165" t="inlineStr">
        <is>
          <t>d5a6cd7ed6652e54708e09af800e3460dd1d8fed15fb969f10a4f7ad9ebbc0e4</t>
        </is>
      </c>
      <c r="I219" s="165" t="inlineStr">
        <is>
          <t>VERIFIED</t>
        </is>
      </c>
      <c r="J219" s="166" t="inlineStr">
        <is>
          <t>https://service.tesla.com/docs/Model3/ElectricalReference/prog-333/faceviews/amp_2177586-1.svg</t>
        </is>
      </c>
    </row>
    <row r="220">
      <c r="A220" s="15" t="n">
        <v>219</v>
      </c>
      <c r="B220" s="165" t="inlineStr">
        <is>
          <t>X565</t>
        </is>
      </c>
      <c r="C220" s="165" t="inlineStr">
        <is>
          <t>terminal faceview</t>
        </is>
      </c>
      <c r="D220" s="165" t="inlineStr">
        <is>
          <t>faceviews/delphi_13649797.svg</t>
        </is>
      </c>
      <c r="E220" s="165" t="inlineStr">
        <is>
          <t>image/svg+xml</t>
        </is>
      </c>
      <c r="F220" s="165" t="n">
        <v>3065</v>
      </c>
      <c r="G220" s="165" t="n">
        <v>200</v>
      </c>
      <c r="H220" s="165" t="inlineStr">
        <is>
          <t>eef5cee675bf4a8cb555cd440696ed5eb59ed74e8997a1fd03bee082810746ff</t>
        </is>
      </c>
      <c r="I220" s="165" t="inlineStr">
        <is>
          <t>VERIFIED</t>
        </is>
      </c>
      <c r="J220" s="166" t="inlineStr">
        <is>
          <t>https://service.tesla.com/docs/Model3/ElectricalReference/prog-333/faceviews/delphi_13649797.svg</t>
        </is>
      </c>
    </row>
    <row r="221">
      <c r="A221" s="15" t="n">
        <v>220</v>
      </c>
      <c r="B221" s="165" t="inlineStr">
        <is>
          <t>X566</t>
        </is>
      </c>
      <c r="C221" s="165" t="inlineStr">
        <is>
          <t>terminal faceview</t>
        </is>
      </c>
      <c r="D221" s="165" t="inlineStr">
        <is>
          <t>faceviews/delphi_35328464.svg</t>
        </is>
      </c>
      <c r="E221" s="165" t="inlineStr">
        <is>
          <t>image/svg+xml</t>
        </is>
      </c>
      <c r="F221" s="165" t="n">
        <v>2538</v>
      </c>
      <c r="G221" s="165" t="n">
        <v>200</v>
      </c>
      <c r="H221" s="165" t="inlineStr">
        <is>
          <t>d117c4660903345d2408da73962832522d462e73f46fdc0e4ecc6fdcdf727f11</t>
        </is>
      </c>
      <c r="I221" s="165" t="inlineStr">
        <is>
          <t>VERIFIED</t>
        </is>
      </c>
      <c r="J221" s="166" t="inlineStr">
        <is>
          <t>https://service.tesla.com/docs/Model3/ElectricalReference/prog-333/faceviews/delphi_35328464.svg</t>
        </is>
      </c>
    </row>
    <row r="222">
      <c r="A222" s="15" t="n">
        <v>221</v>
      </c>
      <c r="B222" s="165" t="inlineStr">
        <is>
          <t>X567</t>
        </is>
      </c>
      <c r="C222" s="165" t="inlineStr">
        <is>
          <t>terminal faceview</t>
        </is>
      </c>
      <c r="D222" s="165" t="inlineStr">
        <is>
          <t>faceviews/yazaki_7283-6444-60.svg</t>
        </is>
      </c>
      <c r="E222" s="165" t="inlineStr">
        <is>
          <t>image/svg+xml</t>
        </is>
      </c>
      <c r="F222" s="165" t="n">
        <v>4717</v>
      </c>
      <c r="G222" s="165" t="n">
        <v>200</v>
      </c>
      <c r="H222" s="165" t="inlineStr">
        <is>
          <t>2ac60c7a22741460620c40e30e833d93cb74ad1c55de28c03c3163a1fd8c0bb2</t>
        </is>
      </c>
      <c r="I222" s="165" t="inlineStr">
        <is>
          <t>VERIFIED</t>
        </is>
      </c>
      <c r="J222" s="166" t="inlineStr">
        <is>
          <t>https://service.tesla.com/docs/Model3/ElectricalReference/prog-333/faceviews/yazaki_7283-6444-60.svg</t>
        </is>
      </c>
    </row>
    <row r="223">
      <c r="A223" s="15" t="n">
        <v>222</v>
      </c>
      <c r="B223" s="165" t="inlineStr">
        <is>
          <t>X568</t>
        </is>
      </c>
      <c r="C223" s="165" t="inlineStr">
        <is>
          <t>terminal faceview</t>
        </is>
      </c>
      <c r="D223" s="165" t="inlineStr">
        <is>
          <t>faceviews/yazaki_7283-6443-40.svg</t>
        </is>
      </c>
      <c r="E223" s="165" t="inlineStr">
        <is>
          <t>image/svg+xml</t>
        </is>
      </c>
      <c r="F223" s="165" t="n">
        <v>2580</v>
      </c>
      <c r="G223" s="165" t="n">
        <v>200</v>
      </c>
      <c r="H223" s="165" t="inlineStr">
        <is>
          <t>ac1b161b614f4fea62458d981cb955b3c9707df1391337edf4550238beb12c53</t>
        </is>
      </c>
      <c r="I223" s="165" t="inlineStr">
        <is>
          <t>VERIFIED</t>
        </is>
      </c>
      <c r="J223" s="166" t="inlineStr">
        <is>
          <t>https://service.tesla.com/docs/Model3/ElectricalReference/prog-333/faceviews/yazaki_7283-6443-40.svg</t>
        </is>
      </c>
    </row>
    <row r="224">
      <c r="A224" s="15" t="n">
        <v>223</v>
      </c>
      <c r="B224" s="165" t="inlineStr">
        <is>
          <t>X607</t>
        </is>
      </c>
      <c r="C224" s="165" t="inlineStr">
        <is>
          <t>terminal faceview</t>
        </is>
      </c>
      <c r="D224" s="165" t="inlineStr">
        <is>
          <t>faceviews/hirose_gt25-8ds-hu.svg</t>
        </is>
      </c>
      <c r="E224" s="165" t="inlineStr">
        <is>
          <t>image/svg+xml</t>
        </is>
      </c>
      <c r="F224" s="165" t="n">
        <v>8366</v>
      </c>
      <c r="G224" s="165" t="n">
        <v>200</v>
      </c>
      <c r="H224" s="165" t="inlineStr">
        <is>
          <t>2e15d5d935302fb113f83edcd90ffb18d30614982b91f598a2f13d97c6c6728e</t>
        </is>
      </c>
      <c r="I224" s="165" t="inlineStr">
        <is>
          <t>VERIFIED</t>
        </is>
      </c>
      <c r="J224" s="166" t="inlineStr">
        <is>
          <t>https://service.tesla.com/docs/Model3/ElectricalReference/prog-333/faceviews/hirose_gt25-8ds-hu.svg</t>
        </is>
      </c>
    </row>
    <row r="225">
      <c r="A225" s="15" t="n">
        <v>224</v>
      </c>
      <c r="B225" s="165" t="inlineStr">
        <is>
          <t>X608</t>
        </is>
      </c>
      <c r="C225" s="165" t="inlineStr">
        <is>
          <t>terminal faceview</t>
        </is>
      </c>
      <c r="D225" s="165" t="inlineStr">
        <is>
          <t>faceviews/molex_560123-0500.svg</t>
        </is>
      </c>
      <c r="E225" s="165" t="inlineStr">
        <is>
          <t>image/svg+xml</t>
        </is>
      </c>
      <c r="F225" s="165" t="n">
        <v>3472</v>
      </c>
      <c r="G225" s="165" t="n">
        <v>200</v>
      </c>
      <c r="H225" s="165" t="inlineStr">
        <is>
          <t>b6c0f92512c586015f36dd4db94bf801ddf9d72a042bc9b095764997d97009b5</t>
        </is>
      </c>
      <c r="I225" s="165" t="inlineStr">
        <is>
          <t>VERIFIED</t>
        </is>
      </c>
      <c r="J225" s="166" t="inlineStr">
        <is>
          <t>https://service.tesla.com/docs/Model3/ElectricalReference/prog-333/faceviews/molex_560123-0500.svg</t>
        </is>
      </c>
    </row>
    <row r="226">
      <c r="A226" s="15" t="n">
        <v>225</v>
      </c>
      <c r="B226" s="165" t="inlineStr">
        <is>
          <t>X818</t>
        </is>
      </c>
      <c r="C226" s="165" t="inlineStr">
        <is>
          <t>terminal faceview</t>
        </is>
      </c>
      <c r="D226" s="165" t="inlineStr">
        <is>
          <t>faceviews/rosenberger_59k27d-1m4z4-b.svg</t>
        </is>
      </c>
      <c r="E226" s="165" t="inlineStr">
        <is>
          <t>image/svg+xml</t>
        </is>
      </c>
      <c r="F226" s="165" t="n">
        <v>13160</v>
      </c>
      <c r="G226" s="165" t="n">
        <v>200</v>
      </c>
      <c r="H226" s="165" t="inlineStr">
        <is>
          <t>a3dd65df9ab53b5b499c8d58bd6799a60f686adaac8e4cf48e149ac518065c81</t>
        </is>
      </c>
      <c r="I226" s="165" t="inlineStr">
        <is>
          <t>VERIFIED</t>
        </is>
      </c>
      <c r="J226" s="166" t="inlineStr">
        <is>
          <t>https://service.tesla.com/docs/Model3/ElectricalReference/prog-333/faceviews/rosenberger_59k27d-1m4z4-b.svg</t>
        </is>
      </c>
    </row>
    <row r="227">
      <c r="A227" s="15" t="n">
        <v>226</v>
      </c>
      <c r="B227" s="165" t="inlineStr">
        <is>
          <t>X845</t>
        </is>
      </c>
      <c r="C227" s="165" t="inlineStr">
        <is>
          <t>terminal faceview</t>
        </is>
      </c>
      <c r="D227" s="165" t="inlineStr">
        <is>
          <t>faceviews/rosenberger_59z113-000-b.svg</t>
        </is>
      </c>
      <c r="E227" s="165" t="inlineStr">
        <is>
          <t>image/svg+xml</t>
        </is>
      </c>
      <c r="F227" s="165" t="n">
        <v>18110</v>
      </c>
      <c r="G227" s="165" t="n">
        <v>200</v>
      </c>
      <c r="H227" s="165" t="inlineStr">
        <is>
          <t>2880eefa9a00c35823cef1a8ed2d82757c11e47460ff39811f7adc7c8b1dd7af</t>
        </is>
      </c>
      <c r="I227" s="165" t="inlineStr">
        <is>
          <t>VERIFIED</t>
        </is>
      </c>
      <c r="J227" s="166" t="inlineStr">
        <is>
          <t>https://service.tesla.com/docs/Model3/ElectricalReference/prog-333/faceviews/rosenberger_59z113-000-b.svg</t>
        </is>
      </c>
    </row>
    <row r="228">
      <c r="A228" s="15" t="n">
        <v>227</v>
      </c>
      <c r="B228" s="165" t="inlineStr">
        <is>
          <t>X901F</t>
        </is>
      </c>
      <c r="C228" s="165" t="inlineStr">
        <is>
          <t>terminal faceview</t>
        </is>
      </c>
      <c r="D228" s="165" t="inlineStr">
        <is>
          <t>faceviews/molex_33472-0606.svg</t>
        </is>
      </c>
      <c r="E228" s="165" t="inlineStr">
        <is>
          <t>image/svg+xml</t>
        </is>
      </c>
      <c r="F228" s="165" t="n">
        <v>19461</v>
      </c>
      <c r="G228" s="165" t="n">
        <v>200</v>
      </c>
      <c r="H228" s="165" t="inlineStr">
        <is>
          <t>eac29c9dc51d220f3678a32c019a33abfd0436692e0d2021b33534e6996ad937</t>
        </is>
      </c>
      <c r="I228" s="165" t="inlineStr">
        <is>
          <t>VERIFIED</t>
        </is>
      </c>
      <c r="J228" s="166" t="inlineStr">
        <is>
          <t>https://service.tesla.com/docs/Model3/ElectricalReference/prog-333/faceviews/molex_33472-0606.svg</t>
        </is>
      </c>
    </row>
    <row r="229">
      <c r="A229" s="15" t="n">
        <v>228</v>
      </c>
      <c r="B229" s="165" t="inlineStr">
        <is>
          <t>X908F</t>
        </is>
      </c>
      <c r="C229" s="165" t="inlineStr">
        <is>
          <t>terminal faceview</t>
        </is>
      </c>
      <c r="D229" s="165" t="inlineStr">
        <is>
          <t>faceviews/kse_k20f01122.svg</t>
        </is>
      </c>
      <c r="E229" s="165" t="inlineStr">
        <is>
          <t>image/svg+xml</t>
        </is>
      </c>
      <c r="F229" s="165" t="n">
        <v>27920</v>
      </c>
      <c r="G229" s="165" t="n">
        <v>200</v>
      </c>
      <c r="H229" s="165" t="inlineStr">
        <is>
          <t>d53613b076189c5d499efddba21028ba712584b00972739664fb2f3989a727ab</t>
        </is>
      </c>
      <c r="I229" s="165" t="inlineStr">
        <is>
          <t>VERIFIED</t>
        </is>
      </c>
      <c r="J229" s="166" t="inlineStr">
        <is>
          <t>https://service.tesla.com/docs/Model3/ElectricalReference/prog-333/faceviews/kse_k20f01122.svg</t>
        </is>
      </c>
    </row>
    <row r="230">
      <c r="A230" s="15" t="n">
        <v>229</v>
      </c>
      <c r="B230" s="165" t="inlineStr">
        <is>
          <t>X908M</t>
        </is>
      </c>
      <c r="C230" s="165" t="inlineStr">
        <is>
          <t>terminal faceview</t>
        </is>
      </c>
      <c r="D230" s="165" t="inlineStr">
        <is>
          <t>faceviews/kse_k30m31012.svg</t>
        </is>
      </c>
      <c r="E230" s="165" t="inlineStr">
        <is>
          <t>image/svg+xml</t>
        </is>
      </c>
      <c r="F230" s="165" t="n">
        <v>44772</v>
      </c>
      <c r="G230" s="165" t="n">
        <v>200</v>
      </c>
      <c r="H230" s="165" t="inlineStr">
        <is>
          <t>e4924fc69bff9cdcf1b5729ac74f520310ff1deba53594da5dc7455a27c66621</t>
        </is>
      </c>
      <c r="I230" s="165" t="inlineStr">
        <is>
          <t>VERIFIED</t>
        </is>
      </c>
      <c r="J230" s="166" t="inlineStr">
        <is>
          <t>https://service.tesla.com/docs/Model3/ElectricalReference/prog-333/faceviews/kse_k30m31012.svg</t>
        </is>
      </c>
    </row>
    <row r="231">
      <c r="A231" s="15" t="n">
        <v>230</v>
      </c>
      <c r="B231" s="165" t="inlineStr">
        <is>
          <t>X922F</t>
        </is>
      </c>
      <c r="C231" s="165" t="inlineStr">
        <is>
          <t>terminal faceview</t>
        </is>
      </c>
      <c r="D231" s="165" t="inlineStr">
        <is>
          <t>faceviews/kse_k20f01112.svg</t>
        </is>
      </c>
      <c r="E231" s="165" t="inlineStr">
        <is>
          <t>image/svg+xml</t>
        </is>
      </c>
      <c r="F231" s="165" t="n">
        <v>27920</v>
      </c>
      <c r="G231" s="165" t="n">
        <v>200</v>
      </c>
      <c r="H231" s="165" t="inlineStr">
        <is>
          <t>733c7c8b4f37562e1146dba4143709aefa66183e11029200a626f8b1f81ad8e0</t>
        </is>
      </c>
      <c r="I231" s="165" t="inlineStr">
        <is>
          <t>VERIFIED</t>
        </is>
      </c>
      <c r="J231" s="166" t="inlineStr">
        <is>
          <t>https://service.tesla.com/docs/Model3/ElectricalReference/prog-333/faceviews/kse_k20f01112.svg</t>
        </is>
      </c>
    </row>
    <row r="232">
      <c r="A232" s="15" t="n">
        <v>231</v>
      </c>
      <c r="B232" s="165" t="inlineStr">
        <is>
          <t>X924M</t>
        </is>
      </c>
      <c r="C232" s="165" t="inlineStr">
        <is>
          <t>terminal faceview</t>
        </is>
      </c>
      <c r="D232" s="165" t="inlineStr">
        <is>
          <t>faceviews/kse_k30m31112.svg</t>
        </is>
      </c>
      <c r="E232" s="165" t="inlineStr">
        <is>
          <t>image/svg+xml</t>
        </is>
      </c>
      <c r="F232" s="165" t="n">
        <v>47644</v>
      </c>
      <c r="G232" s="165" t="n">
        <v>200</v>
      </c>
      <c r="H232" s="165" t="inlineStr">
        <is>
          <t>d6e890cd9ae68448111a93fe9b1377f083d3ecba6a163543d9e7d3f838b60ce6</t>
        </is>
      </c>
      <c r="I232" s="165" t="inlineStr">
        <is>
          <t>VERIFIED</t>
        </is>
      </c>
      <c r="J232" s="166" t="inlineStr">
        <is>
          <t>https://service.tesla.com/docs/Model3/ElectricalReference/prog-333/faceviews/kse_k30m31112.svg</t>
        </is>
      </c>
    </row>
    <row r="233">
      <c r="A233" s="15" t="n">
        <v>232</v>
      </c>
      <c r="B233" s="165" t="inlineStr">
        <is>
          <t>X924F</t>
        </is>
      </c>
      <c r="C233" s="165" t="inlineStr">
        <is>
          <t>terminal faceview</t>
        </is>
      </c>
      <c r="D233" s="165" t="inlineStr">
        <is>
          <t>faceviews/kse_k20f01222.svg</t>
        </is>
      </c>
      <c r="E233" s="165" t="inlineStr">
        <is>
          <t>image/svg+xml</t>
        </is>
      </c>
      <c r="F233" s="165" t="n">
        <v>37878</v>
      </c>
      <c r="G233" s="165" t="n">
        <v>200</v>
      </c>
      <c r="H233" s="165" t="inlineStr">
        <is>
          <t>426321cb73ae246b04236232e4c362f5a3b3ba79f16c749bd4c7ffc8c59d756c</t>
        </is>
      </c>
      <c r="I233" s="165" t="inlineStr">
        <is>
          <t>VERIFIED</t>
        </is>
      </c>
      <c r="J233" s="166" t="inlineStr">
        <is>
          <t>https://service.tesla.com/docs/Model3/ElectricalReference/prog-333/faceviews/kse_k20f01222.svg</t>
        </is>
      </c>
    </row>
    <row r="234">
      <c r="A234" s="15" t="n">
        <v>233</v>
      </c>
      <c r="B234" s="165" t="inlineStr">
        <is>
          <t>X935F</t>
        </is>
      </c>
      <c r="C234" s="165" t="inlineStr">
        <is>
          <t>terminal faceview</t>
        </is>
      </c>
      <c r="D234" s="165" t="inlineStr">
        <is>
          <t>faceviews/amp_1-2321525-1.svg</t>
        </is>
      </c>
      <c r="E234" s="165" t="inlineStr">
        <is>
          <t>image/svg+xml</t>
        </is>
      </c>
      <c r="F234" s="165" t="n">
        <v>17545</v>
      </c>
      <c r="G234" s="165" t="n">
        <v>200</v>
      </c>
      <c r="H234" s="165" t="inlineStr">
        <is>
          <t>65ccab8a993bd18b0d8de13a734c32d9585dd0a7396fa2307eb726499f663c21</t>
        </is>
      </c>
      <c r="I234" s="165" t="inlineStr">
        <is>
          <t>VERIFIED</t>
        </is>
      </c>
      <c r="J234" s="166" t="inlineStr">
        <is>
          <t>https://service.tesla.com/docs/Model3/ElectricalReference/prog-333/faceviews/amp_1-2321525-1.svg</t>
        </is>
      </c>
    </row>
    <row r="235">
      <c r="A235" s="15" t="n">
        <v>234</v>
      </c>
      <c r="B235" s="165" t="inlineStr">
        <is>
          <t>X936M</t>
        </is>
      </c>
      <c r="C235" s="165" t="inlineStr">
        <is>
          <t>terminal faceview</t>
        </is>
      </c>
      <c r="D235" s="165" t="inlineStr">
        <is>
          <t>faceviews/kse_k30m31113.svg</t>
        </is>
      </c>
      <c r="E235" s="165" t="inlineStr">
        <is>
          <t>image/svg+xml</t>
        </is>
      </c>
      <c r="F235" s="165" t="n">
        <v>47644</v>
      </c>
      <c r="G235" s="165" t="n">
        <v>200</v>
      </c>
      <c r="H235" s="165" t="inlineStr">
        <is>
          <t>f0b0acada2fc07ee3bdbe57f2d1d5b8e2dc57f0f08826cd6a2c5f68c7e1dd046</t>
        </is>
      </c>
      <c r="I235" s="165" t="inlineStr">
        <is>
          <t>VERIFIED</t>
        </is>
      </c>
      <c r="J235" s="166" t="inlineStr">
        <is>
          <t>https://service.tesla.com/docs/Model3/ElectricalReference/prog-333/faceviews/kse_k30m31113.svg</t>
        </is>
      </c>
    </row>
    <row r="236">
      <c r="A236" s="15" t="n">
        <v>235</v>
      </c>
      <c r="B236" s="165" t="inlineStr">
        <is>
          <t>X949M</t>
        </is>
      </c>
      <c r="C236" s="165" t="inlineStr">
        <is>
          <t>terminal faceview</t>
        </is>
      </c>
      <c r="D236" s="165" t="inlineStr">
        <is>
          <t>faceviews/molex_33482-6201.svg</t>
        </is>
      </c>
      <c r="E236" s="165" t="inlineStr">
        <is>
          <t>image/svg+xml</t>
        </is>
      </c>
      <c r="F236" s="165" t="n">
        <v>7575</v>
      </c>
      <c r="G236" s="165" t="n">
        <v>200</v>
      </c>
      <c r="H236" s="165" t="inlineStr">
        <is>
          <t>01385a2fb72896fad2353c3a983cbbb5eaaae8cd94f2d86b31aec93c297428fe</t>
        </is>
      </c>
      <c r="I236" s="165" t="inlineStr">
        <is>
          <t>VERIFIED</t>
        </is>
      </c>
      <c r="J236" s="166" t="inlineStr">
        <is>
          <t>https://service.tesla.com/docs/Model3/ElectricalReference/prog-333/faceviews/molex_33482-6201.svg</t>
        </is>
      </c>
    </row>
    <row r="237">
      <c r="A237" s="15" t="n">
        <v>236</v>
      </c>
      <c r="B237" s="165" t="inlineStr">
        <is>
          <t>X949F</t>
        </is>
      </c>
      <c r="C237" s="165" t="inlineStr">
        <is>
          <t>terminal faceview</t>
        </is>
      </c>
      <c r="D237" s="165" t="inlineStr">
        <is>
          <t>faceviews/molex_33472-1206.svg</t>
        </is>
      </c>
      <c r="E237" s="165" t="inlineStr">
        <is>
          <t>image/svg+xml</t>
        </is>
      </c>
      <c r="F237" s="165" t="n">
        <v>17055</v>
      </c>
      <c r="G237" s="165" t="n">
        <v>200</v>
      </c>
      <c r="H237" s="165" t="inlineStr">
        <is>
          <t>4ffd2946e17c30ba7aa9985de778f652ebbed6d8ce2d3a6d9bb483cd4abc82b5</t>
        </is>
      </c>
      <c r="I237" s="165" t="inlineStr">
        <is>
          <t>VERIFIED</t>
        </is>
      </c>
      <c r="J237" s="166" t="inlineStr">
        <is>
          <t>https://service.tesla.com/docs/Model3/ElectricalReference/prog-333/faceviews/molex_33472-1206.svg</t>
        </is>
      </c>
    </row>
    <row r="238">
      <c r="A238" s="15" t="n">
        <v>237</v>
      </c>
      <c r="B238" s="165" t="inlineStr">
        <is>
          <t>X952F</t>
        </is>
      </c>
      <c r="C238" s="165" t="inlineStr">
        <is>
          <t>terminal faceview</t>
        </is>
      </c>
      <c r="D238" s="165" t="inlineStr">
        <is>
          <t>faceviews/molex_33472-8255.svg</t>
        </is>
      </c>
      <c r="E238" s="165" t="inlineStr">
        <is>
          <t>image/svg+xml</t>
        </is>
      </c>
      <c r="F238" s="165" t="n">
        <v>14092</v>
      </c>
      <c r="G238" s="165" t="n">
        <v>200</v>
      </c>
      <c r="H238" s="165" t="inlineStr">
        <is>
          <t>b544d5b250fe960aa8f3645ce16c3fd75240776ea9bcb70836de1fbad8906bdf</t>
        </is>
      </c>
      <c r="I238" s="165" t="inlineStr">
        <is>
          <t>VERIFIED</t>
        </is>
      </c>
      <c r="J238" s="166" t="inlineStr">
        <is>
          <t>https://service.tesla.com/docs/Model3/ElectricalReference/prog-333/faceviews/molex_33472-8255.svg</t>
        </is>
      </c>
    </row>
    <row r="239">
      <c r="A239" s="15" t="n">
        <v>238</v>
      </c>
      <c r="B239" s="165" t="inlineStr">
        <is>
          <t>X952M</t>
        </is>
      </c>
      <c r="C239" s="165" t="inlineStr">
        <is>
          <t>terminal faceview</t>
        </is>
      </c>
      <c r="D239" s="165" t="inlineStr">
        <is>
          <t>faceviews/molex_33482-8993.svg</t>
        </is>
      </c>
      <c r="E239" s="165" t="inlineStr">
        <is>
          <t>image/svg+xml</t>
        </is>
      </c>
      <c r="F239" s="165" t="n">
        <v>9558</v>
      </c>
      <c r="G239" s="165" t="n">
        <v>200</v>
      </c>
      <c r="H239" s="165" t="inlineStr">
        <is>
          <t>213395c8d0c7fffdcbd6d2b67a1a62b1e11e46e508c9b2cab4ad9f6105975c87</t>
        </is>
      </c>
      <c r="I239" s="165" t="inlineStr">
        <is>
          <t>VERIFIED</t>
        </is>
      </c>
      <c r="J239" s="166" t="inlineStr">
        <is>
          <t>https://service.tesla.com/docs/Model3/ElectricalReference/prog-333/faceviews/molex_33482-8993.svg</t>
        </is>
      </c>
    </row>
    <row r="240">
      <c r="A240" s="15" t="n">
        <v>239</v>
      </c>
      <c r="B240" s="165" t="inlineStr">
        <is>
          <t>X970F</t>
        </is>
      </c>
      <c r="C240" s="165" t="inlineStr">
        <is>
          <t>terminal faceview</t>
        </is>
      </c>
      <c r="D240" s="165" t="inlineStr">
        <is>
          <t>faceviews/sumitomo_6098-5695.svg</t>
        </is>
      </c>
      <c r="E240" s="165" t="inlineStr">
        <is>
          <t>image/svg+xml</t>
        </is>
      </c>
      <c r="F240" s="165" t="n">
        <v>3929</v>
      </c>
      <c r="G240" s="165" t="n">
        <v>200</v>
      </c>
      <c r="H240" s="165" t="inlineStr">
        <is>
          <t>e913965f3270bf2e471557f86aae56caf00af21cfb5a7988671e4d6c65286599</t>
        </is>
      </c>
      <c r="I240" s="165" t="inlineStr">
        <is>
          <t>VERIFIED</t>
        </is>
      </c>
      <c r="J240" s="166" t="inlineStr">
        <is>
          <t>https://service.tesla.com/docs/Model3/ElectricalReference/prog-333/faceviews/sumitomo_6098-5695.svg</t>
        </is>
      </c>
    </row>
    <row r="241">
      <c r="A241" s="15" t="n">
        <v>240</v>
      </c>
      <c r="B241" s="165" t="inlineStr">
        <is>
          <t>X981M</t>
        </is>
      </c>
      <c r="C241" s="165" t="inlineStr">
        <is>
          <t>terminal faceview</t>
        </is>
      </c>
      <c r="D241" s="165" t="inlineStr">
        <is>
          <t>faceviews/sumitomo_6098-5594.svg</t>
        </is>
      </c>
      <c r="E241" s="165" t="inlineStr">
        <is>
          <t>image/svg+xml</t>
        </is>
      </c>
      <c r="F241" s="165" t="n">
        <v>7610</v>
      </c>
      <c r="G241" s="165" t="n">
        <v>200</v>
      </c>
      <c r="H241" s="165" t="inlineStr">
        <is>
          <t>17d08ad9cfecdcaebc8816f11978b17aab974adef95753df735bc2a4ea81f615</t>
        </is>
      </c>
      <c r="I241" s="165" t="inlineStr">
        <is>
          <t>VERIFIED</t>
        </is>
      </c>
      <c r="J241" s="166" t="inlineStr">
        <is>
          <t>https://service.tesla.com/docs/Model3/ElectricalReference/prog-333/faceviews/sumitomo_6098-5594.svg</t>
        </is>
      </c>
    </row>
    <row r="242">
      <c r="A242" s="15" t="n">
        <v>241</v>
      </c>
      <c r="B242" s="165" t="inlineStr">
        <is>
          <t>X981F</t>
        </is>
      </c>
      <c r="C242" s="165" t="inlineStr">
        <is>
          <t>terminal faceview</t>
        </is>
      </c>
      <c r="D242" s="165" t="inlineStr">
        <is>
          <t>faceviews/sumitomo_6098-5604.svg</t>
        </is>
      </c>
      <c r="E242" s="165" t="inlineStr">
        <is>
          <t>image/svg+xml</t>
        </is>
      </c>
      <c r="F242" s="165" t="n">
        <v>6901</v>
      </c>
      <c r="G242" s="165" t="n">
        <v>200</v>
      </c>
      <c r="H242" s="165" t="inlineStr">
        <is>
          <t>7dc02c0d4f5bf75f35f08018bcb6a46fa13dcb5acc7cf6411ea6777179b91b8d</t>
        </is>
      </c>
      <c r="I242" s="165" t="inlineStr">
        <is>
          <t>VERIFIED</t>
        </is>
      </c>
      <c r="J242" s="166" t="inlineStr">
        <is>
          <t>https://service.tesla.com/docs/Model3/ElectricalReference/prog-333/faceviews/sumitomo_6098-5604.svg</t>
        </is>
      </c>
    </row>
  </sheetData>
  <autoFilter ref="A1:J24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76"/>
  <sheetViews>
    <sheetView showGridLines="0" workbookViewId="0">
      <pane ySplit="1" topLeftCell="A2" activePane="bottomLeft" state="frozen"/>
      <selection pane="bottomLeft" activeCell="A1" sqref="A1"/>
    </sheetView>
  </sheetViews>
  <sheetFormatPr baseColWidth="8" defaultRowHeight="15"/>
  <cols>
    <col width="31" customWidth="1" min="1" max="1"/>
    <col width="29" customWidth="1" min="2" max="2"/>
    <col width="12" customWidth="1" min="3" max="3"/>
    <col width="25" customWidth="1" min="4" max="4"/>
    <col width="41" customWidth="1" min="5" max="5"/>
    <col width="37" customWidth="1" min="6" max="6"/>
    <col width="40" customWidth="1" min="7" max="7"/>
    <col width="35" customWidth="1" min="8" max="8"/>
  </cols>
  <sheetData>
    <row r="1">
      <c r="A1" s="76" t="inlineStr">
        <is>
          <t>Architecture</t>
        </is>
      </c>
      <c r="B1" s="76" t="inlineStr">
        <is>
          <t>Speaker</t>
        </is>
      </c>
      <c r="C1" s="76" t="inlineStr">
        <is>
          <t>Endpoint</t>
        </is>
      </c>
      <c r="D1" s="76" t="inlineStr">
        <is>
          <t>Harness</t>
        </is>
      </c>
      <c r="E1" s="76" t="inlineStr">
        <is>
          <t>Factory / target source</t>
        </is>
      </c>
      <c r="F1" s="76" t="inlineStr">
        <is>
          <t>Aftermarket feed</t>
        </is>
      </c>
      <c r="G1" s="76" t="inlineStr">
        <is>
          <t>Driver SKU</t>
        </is>
      </c>
      <c r="H1" s="76" t="inlineStr">
        <is>
          <t>Architecture status</t>
        </is>
      </c>
    </row>
    <row r="2">
      <c r="A2" s="15" t="inlineStr">
        <is>
          <t>A - Audison value route</t>
        </is>
      </c>
      <c r="B2" s="15" t="inlineStr">
        <is>
          <t>Front left premium woofer</t>
        </is>
      </c>
      <c r="C2" s="15" t="inlineStr">
        <is>
          <t>X567</t>
        </is>
      </c>
      <c r="D2" s="15" t="inlineStr">
        <is>
          <t>D - Front Door Left</t>
        </is>
      </c>
      <c r="E2" s="15" t="inlineStr">
        <is>
          <t>PAUDIO Premium Amp</t>
        </is>
      </c>
      <c r="F2" s="15" t="inlineStr">
        <is>
          <t>AUD CH1</t>
        </is>
      </c>
      <c r="G2" s="15" t="inlineStr">
        <is>
          <t>HELIX Ci3 W200FM-S3</t>
        </is>
      </c>
      <c r="H2" s="15" t="inlineStr">
        <is>
          <t>BASELINE RETAINED - AUX AMP UNPRICED</t>
        </is>
      </c>
    </row>
    <row r="3">
      <c r="A3" s="15" t="inlineStr">
        <is>
          <t>A - Audison value route</t>
        </is>
      </c>
      <c r="B3" s="15" t="inlineStr">
        <is>
          <t>Front right premium woofer</t>
        </is>
      </c>
      <c r="C3" s="15" t="inlineStr">
        <is>
          <t>X577</t>
        </is>
      </c>
      <c r="D3" s="15" t="inlineStr">
        <is>
          <t>P - Front Door Right</t>
        </is>
      </c>
      <c r="E3" s="15" t="inlineStr">
        <is>
          <t>PAUDIO Premium Amp</t>
        </is>
      </c>
      <c r="F3" s="15" t="inlineStr">
        <is>
          <t>AUD CH2</t>
        </is>
      </c>
      <c r="G3" s="15" t="inlineStr">
        <is>
          <t>HELIX Ci3 W200FM-S3</t>
        </is>
      </c>
      <c r="H3" s="15" t="inlineStr">
        <is>
          <t>BASELINE RETAINED - AUX AMP UNPRICED</t>
        </is>
      </c>
    </row>
    <row r="4">
      <c r="A4" s="15" t="inlineStr">
        <is>
          <t>A - Audison value route</t>
        </is>
      </c>
      <c r="B4" s="15" t="inlineStr">
        <is>
          <t>Front left tweeter</t>
        </is>
      </c>
      <c r="C4" s="15" t="inlineStr">
        <is>
          <t>X565</t>
        </is>
      </c>
      <c r="D4" s="15" t="inlineStr">
        <is>
          <t>DT - Front Door Trim</t>
        </is>
      </c>
      <c r="E4" s="15" t="inlineStr">
        <is>
          <t>BAUDIO MCU / pass-through</t>
        </is>
      </c>
      <c r="F4" s="15" t="inlineStr">
        <is>
          <t>AUD CH3 via passive XO with SPK05</t>
        </is>
      </c>
      <c r="G4" s="15" t="inlineStr">
        <is>
          <t>HELIX T20FM-TI (Highland kit)</t>
        </is>
      </c>
      <c r="H4" s="15" t="inlineStr">
        <is>
          <t>BASELINE RETAINED - AUX AMP UNPRICED</t>
        </is>
      </c>
    </row>
    <row r="5">
      <c r="A5" s="15" t="inlineStr">
        <is>
          <t>A - Audison value route</t>
        </is>
      </c>
      <c r="B5" s="15" t="inlineStr">
        <is>
          <t>Front right tweeter</t>
        </is>
      </c>
      <c r="C5" s="15" t="inlineStr">
        <is>
          <t>X575</t>
        </is>
      </c>
      <c r="D5" s="15" t="inlineStr">
        <is>
          <t>DT - Front Door Trim</t>
        </is>
      </c>
      <c r="E5" s="15" t="inlineStr">
        <is>
          <t>BAUDIO MCU / pass-through</t>
        </is>
      </c>
      <c r="F5" s="15" t="inlineStr">
        <is>
          <t>AUD CH4 via passive XO with SPK07</t>
        </is>
      </c>
      <c r="G5" s="15" t="inlineStr">
        <is>
          <t>HELIX T20FM-TI (Highland kit)</t>
        </is>
      </c>
      <c r="H5" s="15" t="inlineStr">
        <is>
          <t>BASELINE RETAINED - AUX AMP UNPRICED</t>
        </is>
      </c>
    </row>
    <row r="6">
      <c r="A6" s="15" t="inlineStr">
        <is>
          <t>A - Audison value route</t>
        </is>
      </c>
      <c r="B6" s="15" t="inlineStr">
        <is>
          <t>Instrument panel left</t>
        </is>
      </c>
      <c r="C6" s="15" t="inlineStr">
        <is>
          <t>X566</t>
        </is>
      </c>
      <c r="D6" s="15" t="inlineStr">
        <is>
          <t>J - IP</t>
        </is>
      </c>
      <c r="E6" s="15" t="inlineStr">
        <is>
          <t>BAUDIO MCU</t>
        </is>
      </c>
      <c r="F6" s="15" t="inlineStr">
        <is>
          <t>AUD CH3 via passive XO with SPK03</t>
        </is>
      </c>
      <c r="G6" s="15" t="inlineStr">
        <is>
          <t>HELIX Ci3 M100FM-S3 (Highland kit)</t>
        </is>
      </c>
      <c r="H6" s="15" t="inlineStr">
        <is>
          <t>BASELINE RETAINED - AUX AMP UNPRICED</t>
        </is>
      </c>
    </row>
    <row r="7">
      <c r="A7" s="15" t="inlineStr">
        <is>
          <t>A - Audison value route</t>
        </is>
      </c>
      <c r="B7" s="15" t="inlineStr">
        <is>
          <t>Instrument panel center</t>
        </is>
      </c>
      <c r="C7" s="15" t="inlineStr">
        <is>
          <t>X595</t>
        </is>
      </c>
      <c r="D7" s="15" t="inlineStr">
        <is>
          <t>J - IP</t>
        </is>
      </c>
      <c r="E7" s="15" t="inlineStr">
        <is>
          <t>BAUDIO MCU</t>
        </is>
      </c>
      <c r="F7" s="15" t="inlineStr">
        <is>
          <t>AUD CH5</t>
        </is>
      </c>
      <c r="G7" s="15" t="inlineStr">
        <is>
          <t>HELIX Ci3 C100.2FM-S3 (Highland kit)</t>
        </is>
      </c>
      <c r="H7" s="15" t="inlineStr">
        <is>
          <t>BASELINE RETAINED - AUX AMP UNPRICED</t>
        </is>
      </c>
    </row>
    <row r="8">
      <c r="A8" s="15" t="inlineStr">
        <is>
          <t>A - Audison value route</t>
        </is>
      </c>
      <c r="B8" s="15" t="inlineStr">
        <is>
          <t>Instrument panel right</t>
        </is>
      </c>
      <c r="C8" s="15" t="inlineStr">
        <is>
          <t>X576</t>
        </is>
      </c>
      <c r="D8" s="15" t="inlineStr">
        <is>
          <t>J - IP</t>
        </is>
      </c>
      <c r="E8" s="15" t="inlineStr">
        <is>
          <t>BAUDIO MCU</t>
        </is>
      </c>
      <c r="F8" s="15" t="inlineStr">
        <is>
          <t>AUD CH4 via passive XO with SPK04</t>
        </is>
      </c>
      <c r="G8" s="15" t="inlineStr">
        <is>
          <t>HELIX Ci3 M100FM-S3 (Highland kit)</t>
        </is>
      </c>
      <c r="H8" s="15" t="inlineStr">
        <is>
          <t>BASELINE RETAINED - AUX AMP UNPRICED</t>
        </is>
      </c>
    </row>
    <row r="9">
      <c r="A9" s="15" t="inlineStr">
        <is>
          <t>A - Audison value route</t>
        </is>
      </c>
      <c r="B9" s="15" t="inlineStr">
        <is>
          <t>Front left door 80 mm</t>
        </is>
      </c>
      <c r="C9" s="15" t="inlineStr">
        <is>
          <t>X570</t>
        </is>
      </c>
      <c r="D9" s="15" t="inlineStr">
        <is>
          <t>DT - Front Door Trim</t>
        </is>
      </c>
      <c r="E9" s="15" t="inlineStr">
        <is>
          <t>PAUDIO Premium Amp</t>
        </is>
      </c>
      <c r="F9" s="15" t="inlineStr">
        <is>
          <t>AUD CH6</t>
        </is>
      </c>
      <c r="G9" s="15" t="inlineStr">
        <is>
          <t>HELIX Ci5 M80FM-S3</t>
        </is>
      </c>
      <c r="H9" s="15" t="inlineStr">
        <is>
          <t>BASELINE RETAINED - AUX AMP UNPRICED</t>
        </is>
      </c>
    </row>
    <row r="10">
      <c r="A10" s="15" t="inlineStr">
        <is>
          <t>A - Audison value route</t>
        </is>
      </c>
      <c r="B10" s="15" t="inlineStr">
        <is>
          <t>Front right door 80 mm</t>
        </is>
      </c>
      <c r="C10" s="15" t="inlineStr">
        <is>
          <t>X580</t>
        </is>
      </c>
      <c r="D10" s="15" t="inlineStr">
        <is>
          <t>DT - Front Door Trim</t>
        </is>
      </c>
      <c r="E10" s="15" t="inlineStr">
        <is>
          <t>PAUDIO Premium Amp</t>
        </is>
      </c>
      <c r="F10" s="15" t="inlineStr">
        <is>
          <t>AUD CH7</t>
        </is>
      </c>
      <c r="G10" s="15" t="inlineStr">
        <is>
          <t>HELIX Ci5 M80FM-S3</t>
        </is>
      </c>
      <c r="H10" s="15" t="inlineStr">
        <is>
          <t>BASELINE RETAINED - AUX AMP UNPRICED</t>
        </is>
      </c>
    </row>
    <row r="11">
      <c r="A11" s="15" t="inlineStr">
        <is>
          <t>A - Audison value route</t>
        </is>
      </c>
      <c r="B11" s="15" t="inlineStr">
        <is>
          <t>Rear left door</t>
        </is>
      </c>
      <c r="C11" s="15" t="inlineStr">
        <is>
          <t>X586</t>
        </is>
      </c>
      <c r="D11" s="15" t="inlineStr">
        <is>
          <t>RT - Rear Door Trim</t>
        </is>
      </c>
      <c r="E11" s="15" t="inlineStr">
        <is>
          <t>BAUDIO MCU; PAUDIO Premium Amp in PAUDIO topology</t>
        </is>
      </c>
      <c r="F11" s="15" t="inlineStr">
        <is>
          <t>AUD CH8</t>
        </is>
      </c>
      <c r="G11" s="15" t="inlineStr">
        <is>
          <t>HELIX Ci3 M100FM-S3</t>
        </is>
      </c>
      <c r="H11" s="15" t="inlineStr">
        <is>
          <t>BASELINE RETAINED - AUX AMP UNPRICED</t>
        </is>
      </c>
    </row>
    <row r="12">
      <c r="A12" s="15" t="inlineStr">
        <is>
          <t>A - Audison value route</t>
        </is>
      </c>
      <c r="B12" s="15" t="inlineStr">
        <is>
          <t>Rear right door</t>
        </is>
      </c>
      <c r="C12" s="15" t="inlineStr">
        <is>
          <t>X591</t>
        </is>
      </c>
      <c r="D12" s="15" t="inlineStr">
        <is>
          <t>RT - Rear Door Trim</t>
        </is>
      </c>
      <c r="E12" s="15" t="inlineStr">
        <is>
          <t>BAUDIO MCU; PAUDIO Premium Amp in PAUDIO topology</t>
        </is>
      </c>
      <c r="F12" s="15" t="inlineStr">
        <is>
          <t>AUD CH9</t>
        </is>
      </c>
      <c r="G12" s="15" t="inlineStr">
        <is>
          <t>HELIX Ci3 M100FM-S3</t>
        </is>
      </c>
      <c r="H12" s="15" t="inlineStr">
        <is>
          <t>BASELINE RETAINED - AUX AMP UNPRICED</t>
        </is>
      </c>
    </row>
    <row r="13">
      <c r="A13" s="15" t="inlineStr">
        <is>
          <t>A - Audison value route</t>
        </is>
      </c>
      <c r="B13" s="15" t="inlineStr">
        <is>
          <t>Parcel shelf left</t>
        </is>
      </c>
      <c r="C13" s="15" t="inlineStr">
        <is>
          <t>X588</t>
        </is>
      </c>
      <c r="D13" s="15" t="inlineStr">
        <is>
          <t>Q - Parcel Shelf</t>
        </is>
      </c>
      <c r="E13" s="15" t="inlineStr">
        <is>
          <t>PAUDIO Premium Amp</t>
        </is>
      </c>
      <c r="F13" s="15" t="inlineStr">
        <is>
          <t>AUD CH10</t>
        </is>
      </c>
      <c r="G13" s="15" t="inlineStr">
        <is>
          <t>HELIX Ci3 M100FM-S3</t>
        </is>
      </c>
      <c r="H13" s="15" t="inlineStr">
        <is>
          <t>BASELINE RETAINED - AUX AMP UNPRICED</t>
        </is>
      </c>
    </row>
    <row r="14">
      <c r="A14" s="15" t="inlineStr">
        <is>
          <t>A - Audison value route</t>
        </is>
      </c>
      <c r="B14" s="15" t="inlineStr">
        <is>
          <t>Parcel shelf right</t>
        </is>
      </c>
      <c r="C14" s="15" t="inlineStr">
        <is>
          <t>X593</t>
        </is>
      </c>
      <c r="D14" s="15" t="inlineStr">
        <is>
          <t>Q - Parcel Shelf</t>
        </is>
      </c>
      <c r="E14" s="15" t="inlineStr">
        <is>
          <t>PAUDIO Premium Amp</t>
        </is>
      </c>
      <c r="F14" s="15" t="inlineStr">
        <is>
          <t>AUD CH11</t>
        </is>
      </c>
      <c r="G14" s="15" t="inlineStr">
        <is>
          <t>HELIX Ci3 M100FM-S3</t>
        </is>
      </c>
      <c r="H14" s="15" t="inlineStr">
        <is>
          <t>BASELINE RETAINED - AUX AMP UNPRICED</t>
        </is>
      </c>
    </row>
    <row r="15">
      <c r="A15" s="15" t="inlineStr">
        <is>
          <t>A - Audison value route</t>
        </is>
      </c>
      <c r="B15" s="15" t="inlineStr">
        <is>
          <t>Headliner left</t>
        </is>
      </c>
      <c r="C15" s="15" t="inlineStr">
        <is>
          <t>X569</t>
        </is>
      </c>
      <c r="D15" s="15" t="inlineStr">
        <is>
          <t>K - Headliner</t>
        </is>
      </c>
      <c r="E15" s="15" t="inlineStr">
        <is>
          <t>PAUDIO option branch from MCU (not BAUDIO-assumed)</t>
        </is>
      </c>
      <c r="F15" s="15" t="inlineStr">
        <is>
          <t>AUX CH1 via Audison DSP OUT</t>
        </is>
      </c>
      <c r="G15" s="15" t="inlineStr">
        <is>
          <t>HELIX Ci5 M50FM-S3</t>
        </is>
      </c>
      <c r="H15" s="15" t="inlineStr">
        <is>
          <t>BASELINE RETAINED - AUX AMP UNPRICED</t>
        </is>
      </c>
    </row>
    <row r="16">
      <c r="A16" s="15" t="inlineStr">
        <is>
          <t>A - Audison value route</t>
        </is>
      </c>
      <c r="B16" s="15" t="inlineStr">
        <is>
          <t>Headliner right</t>
        </is>
      </c>
      <c r="C16" s="15" t="inlineStr">
        <is>
          <t>X579</t>
        </is>
      </c>
      <c r="D16" s="15" t="inlineStr">
        <is>
          <t>K - Headliner</t>
        </is>
      </c>
      <c r="E16" s="15" t="inlineStr">
        <is>
          <t>PAUDIO option branch from MCU (not BAUDIO-assumed)</t>
        </is>
      </c>
      <c r="F16" s="15" t="inlineStr">
        <is>
          <t>AUX CH2 via Audison DSP OUT</t>
        </is>
      </c>
      <c r="G16" s="15" t="inlineStr">
        <is>
          <t>HELIX Ci5 M50FM-S3</t>
        </is>
      </c>
      <c r="H16" s="15" t="inlineStr">
        <is>
          <t>BASELINE RETAINED - AUX AMP UNPRICED</t>
        </is>
      </c>
    </row>
    <row r="17">
      <c r="A17" s="15" t="inlineStr">
        <is>
          <t>B - Maximum PnP</t>
        </is>
      </c>
      <c r="B17" s="15" t="inlineStr">
        <is>
          <t>Front left premium woofer</t>
        </is>
      </c>
      <c r="C17" s="15" t="inlineStr">
        <is>
          <t>X567</t>
        </is>
      </c>
      <c r="D17" s="15" t="inlineStr">
        <is>
          <t>D - Front Door Left</t>
        </is>
      </c>
      <c r="E17" s="15" t="inlineStr">
        <is>
          <t>PAUDIO Premium Amp</t>
        </is>
      </c>
      <c r="F17" s="15" t="inlineStr">
        <is>
          <t>Grouping/AUX plan TBD</t>
        </is>
      </c>
      <c r="G17" s="15" t="inlineStr">
        <is>
          <t>HELIX Ci3 W200FM-S3</t>
        </is>
      </c>
      <c r="H17" s="15" t="inlineStr">
        <is>
          <t>GROUPING / AUX REQUIRED</t>
        </is>
      </c>
    </row>
    <row r="18">
      <c r="A18" s="15" t="inlineStr">
        <is>
          <t>B - Maximum PnP</t>
        </is>
      </c>
      <c r="B18" s="15" t="inlineStr">
        <is>
          <t>Front right premium woofer</t>
        </is>
      </c>
      <c r="C18" s="15" t="inlineStr">
        <is>
          <t>X577</t>
        </is>
      </c>
      <c r="D18" s="15" t="inlineStr">
        <is>
          <t>P - Front Door Right</t>
        </is>
      </c>
      <c r="E18" s="15" t="inlineStr">
        <is>
          <t>PAUDIO Premium Amp</t>
        </is>
      </c>
      <c r="F18" s="15" t="inlineStr">
        <is>
          <t>Grouping/AUX plan TBD</t>
        </is>
      </c>
      <c r="G18" s="15" t="inlineStr">
        <is>
          <t>HELIX Ci3 W200FM-S3</t>
        </is>
      </c>
      <c r="H18" s="15" t="inlineStr">
        <is>
          <t>GROUPING / AUX REQUIRED</t>
        </is>
      </c>
    </row>
    <row r="19">
      <c r="A19" s="15" t="inlineStr">
        <is>
          <t>B - Maximum PnP</t>
        </is>
      </c>
      <c r="B19" s="15" t="inlineStr">
        <is>
          <t>Front left tweeter</t>
        </is>
      </c>
      <c r="C19" s="15" t="inlineStr">
        <is>
          <t>X565</t>
        </is>
      </c>
      <c r="D19" s="15" t="inlineStr">
        <is>
          <t>DT - Front Door Trim</t>
        </is>
      </c>
      <c r="E19" s="15" t="inlineStr">
        <is>
          <t>BAUDIO MCU / pass-through</t>
        </is>
      </c>
      <c r="F19" s="15" t="inlineStr">
        <is>
          <t>Grouping/AUX plan TBD</t>
        </is>
      </c>
      <c r="G19" s="15" t="inlineStr">
        <is>
          <t>HELIX T20FM-TI (Highland kit)</t>
        </is>
      </c>
      <c r="H19" s="15" t="inlineStr">
        <is>
          <t>GROUPING / AUX REQUIRED</t>
        </is>
      </c>
    </row>
    <row r="20">
      <c r="A20" s="15" t="inlineStr">
        <is>
          <t>B - Maximum PnP</t>
        </is>
      </c>
      <c r="B20" s="15" t="inlineStr">
        <is>
          <t>Front right tweeter</t>
        </is>
      </c>
      <c r="C20" s="15" t="inlineStr">
        <is>
          <t>X575</t>
        </is>
      </c>
      <c r="D20" s="15" t="inlineStr">
        <is>
          <t>DT - Front Door Trim</t>
        </is>
      </c>
      <c r="E20" s="15" t="inlineStr">
        <is>
          <t>BAUDIO MCU / pass-through</t>
        </is>
      </c>
      <c r="F20" s="15" t="inlineStr">
        <is>
          <t>Grouping/AUX plan TBD</t>
        </is>
      </c>
      <c r="G20" s="15" t="inlineStr">
        <is>
          <t>HELIX T20FM-TI (Highland kit)</t>
        </is>
      </c>
      <c r="H20" s="15" t="inlineStr">
        <is>
          <t>GROUPING / AUX REQUIRED</t>
        </is>
      </c>
    </row>
    <row r="21">
      <c r="A21" s="15" t="inlineStr">
        <is>
          <t>B - Maximum PnP</t>
        </is>
      </c>
      <c r="B21" s="15" t="inlineStr">
        <is>
          <t>Instrument panel left</t>
        </is>
      </c>
      <c r="C21" s="15" t="inlineStr">
        <is>
          <t>X566</t>
        </is>
      </c>
      <c r="D21" s="15" t="inlineStr">
        <is>
          <t>J - IP</t>
        </is>
      </c>
      <c r="E21" s="15" t="inlineStr">
        <is>
          <t>BAUDIO MCU</t>
        </is>
      </c>
      <c r="F21" s="15" t="inlineStr">
        <is>
          <t>Grouping/AUX plan TBD</t>
        </is>
      </c>
      <c r="G21" s="15" t="inlineStr">
        <is>
          <t>HELIX Ci3 M100FM-S3 (Highland kit)</t>
        </is>
      </c>
      <c r="H21" s="15" t="inlineStr">
        <is>
          <t>GROUPING / AUX REQUIRED</t>
        </is>
      </c>
    </row>
    <row r="22">
      <c r="A22" s="15" t="inlineStr">
        <is>
          <t>B - Maximum PnP</t>
        </is>
      </c>
      <c r="B22" s="15" t="inlineStr">
        <is>
          <t>Instrument panel center</t>
        </is>
      </c>
      <c r="C22" s="15" t="inlineStr">
        <is>
          <t>X595</t>
        </is>
      </c>
      <c r="D22" s="15" t="inlineStr">
        <is>
          <t>J - IP</t>
        </is>
      </c>
      <c r="E22" s="15" t="inlineStr">
        <is>
          <t>BAUDIO MCU</t>
        </is>
      </c>
      <c r="F22" s="15" t="inlineStr">
        <is>
          <t>Grouping/AUX plan TBD</t>
        </is>
      </c>
      <c r="G22" s="15" t="inlineStr">
        <is>
          <t>HELIX Ci3 C100.2FM-S3 (Highland kit)</t>
        </is>
      </c>
      <c r="H22" s="15" t="inlineStr">
        <is>
          <t>GROUPING / AUX REQUIRED</t>
        </is>
      </c>
    </row>
    <row r="23">
      <c r="A23" s="15" t="inlineStr">
        <is>
          <t>B - Maximum PnP</t>
        </is>
      </c>
      <c r="B23" s="15" t="inlineStr">
        <is>
          <t>Instrument panel right</t>
        </is>
      </c>
      <c r="C23" s="15" t="inlineStr">
        <is>
          <t>X576</t>
        </is>
      </c>
      <c r="D23" s="15" t="inlineStr">
        <is>
          <t>J - IP</t>
        </is>
      </c>
      <c r="E23" s="15" t="inlineStr">
        <is>
          <t>BAUDIO MCU</t>
        </is>
      </c>
      <c r="F23" s="15" t="inlineStr">
        <is>
          <t>Grouping/AUX plan TBD</t>
        </is>
      </c>
      <c r="G23" s="15" t="inlineStr">
        <is>
          <t>HELIX Ci3 M100FM-S3 (Highland kit)</t>
        </is>
      </c>
      <c r="H23" s="15" t="inlineStr">
        <is>
          <t>GROUPING / AUX REQUIRED</t>
        </is>
      </c>
    </row>
    <row r="24">
      <c r="A24" s="15" t="inlineStr">
        <is>
          <t>B - Maximum PnP</t>
        </is>
      </c>
      <c r="B24" s="15" t="inlineStr">
        <is>
          <t>Front left door 80 mm</t>
        </is>
      </c>
      <c r="C24" s="15" t="inlineStr">
        <is>
          <t>X570</t>
        </is>
      </c>
      <c r="D24" s="15" t="inlineStr">
        <is>
          <t>DT - Front Door Trim</t>
        </is>
      </c>
      <c r="E24" s="15" t="inlineStr">
        <is>
          <t>PAUDIO Premium Amp</t>
        </is>
      </c>
      <c r="F24" s="15" t="inlineStr">
        <is>
          <t>Grouping/AUX plan TBD</t>
        </is>
      </c>
      <c r="G24" s="15" t="inlineStr">
        <is>
          <t>HELIX Ci5 M80FM-S3</t>
        </is>
      </c>
      <c r="H24" s="15" t="inlineStr">
        <is>
          <t>GROUPING / AUX REQUIRED</t>
        </is>
      </c>
    </row>
    <row r="25">
      <c r="A25" s="15" t="inlineStr">
        <is>
          <t>B - Maximum PnP</t>
        </is>
      </c>
      <c r="B25" s="15" t="inlineStr">
        <is>
          <t>Front right door 80 mm</t>
        </is>
      </c>
      <c r="C25" s="15" t="inlineStr">
        <is>
          <t>X580</t>
        </is>
      </c>
      <c r="D25" s="15" t="inlineStr">
        <is>
          <t>DT - Front Door Trim</t>
        </is>
      </c>
      <c r="E25" s="15" t="inlineStr">
        <is>
          <t>PAUDIO Premium Amp</t>
        </is>
      </c>
      <c r="F25" s="15" t="inlineStr">
        <is>
          <t>Grouping/AUX plan TBD</t>
        </is>
      </c>
      <c r="G25" s="15" t="inlineStr">
        <is>
          <t>HELIX Ci5 M80FM-S3</t>
        </is>
      </c>
      <c r="H25" s="15" t="inlineStr">
        <is>
          <t>GROUPING / AUX REQUIRED</t>
        </is>
      </c>
    </row>
    <row r="26">
      <c r="A26" s="15" t="inlineStr">
        <is>
          <t>B - Maximum PnP</t>
        </is>
      </c>
      <c r="B26" s="15" t="inlineStr">
        <is>
          <t>Rear left door</t>
        </is>
      </c>
      <c r="C26" s="15" t="inlineStr">
        <is>
          <t>X586</t>
        </is>
      </c>
      <c r="D26" s="15" t="inlineStr">
        <is>
          <t>RT - Rear Door Trim</t>
        </is>
      </c>
      <c r="E26" s="15" t="inlineStr">
        <is>
          <t>BAUDIO MCU; PAUDIO Premium Amp in PAUDIO topology</t>
        </is>
      </c>
      <c r="F26" s="15" t="inlineStr">
        <is>
          <t>Grouping/AUX plan TBD</t>
        </is>
      </c>
      <c r="G26" s="15" t="inlineStr">
        <is>
          <t>HELIX Ci3 M100FM-S3</t>
        </is>
      </c>
      <c r="H26" s="15" t="inlineStr">
        <is>
          <t>GROUPING / AUX REQUIRED</t>
        </is>
      </c>
    </row>
    <row r="27">
      <c r="A27" s="15" t="inlineStr">
        <is>
          <t>B - Maximum PnP</t>
        </is>
      </c>
      <c r="B27" s="15" t="inlineStr">
        <is>
          <t>Rear right door</t>
        </is>
      </c>
      <c r="C27" s="15" t="inlineStr">
        <is>
          <t>X591</t>
        </is>
      </c>
      <c r="D27" s="15" t="inlineStr">
        <is>
          <t>RT - Rear Door Trim</t>
        </is>
      </c>
      <c r="E27" s="15" t="inlineStr">
        <is>
          <t>BAUDIO MCU; PAUDIO Premium Amp in PAUDIO topology</t>
        </is>
      </c>
      <c r="F27" s="15" t="inlineStr">
        <is>
          <t>Grouping/AUX plan TBD</t>
        </is>
      </c>
      <c r="G27" s="15" t="inlineStr">
        <is>
          <t>HELIX Ci3 M100FM-S3</t>
        </is>
      </c>
      <c r="H27" s="15" t="inlineStr">
        <is>
          <t>GROUPING / AUX REQUIRED</t>
        </is>
      </c>
    </row>
    <row r="28">
      <c r="A28" s="15" t="inlineStr">
        <is>
          <t>B - Maximum PnP</t>
        </is>
      </c>
      <c r="B28" s="15" t="inlineStr">
        <is>
          <t>Parcel shelf left</t>
        </is>
      </c>
      <c r="C28" s="15" t="inlineStr">
        <is>
          <t>X588</t>
        </is>
      </c>
      <c r="D28" s="15" t="inlineStr">
        <is>
          <t>Q - Parcel Shelf</t>
        </is>
      </c>
      <c r="E28" s="15" t="inlineStr">
        <is>
          <t>PAUDIO Premium Amp</t>
        </is>
      </c>
      <c r="F28" s="15" t="inlineStr">
        <is>
          <t>Grouping/AUX plan TBD</t>
        </is>
      </c>
      <c r="G28" s="15" t="inlineStr">
        <is>
          <t>HELIX Ci3 M100FM-S3</t>
        </is>
      </c>
      <c r="H28" s="15" t="inlineStr">
        <is>
          <t>GROUPING / AUX REQUIRED</t>
        </is>
      </c>
    </row>
    <row r="29">
      <c r="A29" s="15" t="inlineStr">
        <is>
          <t>B - Maximum PnP</t>
        </is>
      </c>
      <c r="B29" s="15" t="inlineStr">
        <is>
          <t>Parcel shelf right</t>
        </is>
      </c>
      <c r="C29" s="15" t="inlineStr">
        <is>
          <t>X593</t>
        </is>
      </c>
      <c r="D29" s="15" t="inlineStr">
        <is>
          <t>Q - Parcel Shelf</t>
        </is>
      </c>
      <c r="E29" s="15" t="inlineStr">
        <is>
          <t>PAUDIO Premium Amp</t>
        </is>
      </c>
      <c r="F29" s="15" t="inlineStr">
        <is>
          <t>Grouping/AUX plan TBD</t>
        </is>
      </c>
      <c r="G29" s="15" t="inlineStr">
        <is>
          <t>HELIX Ci3 M100FM-S3</t>
        </is>
      </c>
      <c r="H29" s="15" t="inlineStr">
        <is>
          <t>GROUPING / AUX REQUIRED</t>
        </is>
      </c>
    </row>
    <row r="30">
      <c r="A30" s="15" t="inlineStr">
        <is>
          <t>B - Maximum PnP</t>
        </is>
      </c>
      <c r="B30" s="15" t="inlineStr">
        <is>
          <t>Headliner left</t>
        </is>
      </c>
      <c r="C30" s="15" t="inlineStr">
        <is>
          <t>X569</t>
        </is>
      </c>
      <c r="D30" s="15" t="inlineStr">
        <is>
          <t>K - Headliner</t>
        </is>
      </c>
      <c r="E30" s="15" t="inlineStr">
        <is>
          <t>PAUDIO option branch from MCU (not BAUDIO-assumed)</t>
        </is>
      </c>
      <c r="F30" s="15" t="inlineStr">
        <is>
          <t>Grouping/AUX plan TBD</t>
        </is>
      </c>
      <c r="G30" s="15" t="inlineStr">
        <is>
          <t>HELIX Ci5 M50FM-S3</t>
        </is>
      </c>
      <c r="H30" s="15" t="inlineStr">
        <is>
          <t>GROUPING / AUX REQUIRED</t>
        </is>
      </c>
    </row>
    <row r="31">
      <c r="A31" s="15" t="inlineStr">
        <is>
          <t>B - Maximum PnP</t>
        </is>
      </c>
      <c r="B31" s="15" t="inlineStr">
        <is>
          <t>Headliner right</t>
        </is>
      </c>
      <c r="C31" s="15" t="inlineStr">
        <is>
          <t>X579</t>
        </is>
      </c>
      <c r="D31" s="15" t="inlineStr">
        <is>
          <t>K - Headliner</t>
        </is>
      </c>
      <c r="E31" s="15" t="inlineStr">
        <is>
          <t>PAUDIO option branch from MCU (not BAUDIO-assumed)</t>
        </is>
      </c>
      <c r="F31" s="15" t="inlineStr">
        <is>
          <t>Grouping/AUX plan TBD</t>
        </is>
      </c>
      <c r="G31" s="15" t="inlineStr">
        <is>
          <t>HELIX Ci5 M50FM-S3</t>
        </is>
      </c>
      <c r="H31" s="15" t="inlineStr">
        <is>
          <t>GROUPING / AUX REQUIRED</t>
        </is>
      </c>
    </row>
    <row r="32">
      <c r="A32" s="15" t="inlineStr">
        <is>
          <t>C - HELIX V TWELVE</t>
        </is>
      </c>
      <c r="B32" s="15" t="inlineStr">
        <is>
          <t>Front left premium woofer</t>
        </is>
      </c>
      <c r="C32" s="15" t="inlineStr">
        <is>
          <t>X567</t>
        </is>
      </c>
      <c r="D32" s="15" t="inlineStr">
        <is>
          <t>D - Front Door Left</t>
        </is>
      </c>
      <c r="E32" s="15" t="inlineStr">
        <is>
          <t>PAUDIO Premium Amp</t>
        </is>
      </c>
      <c r="F32" s="15" t="inlineStr">
        <is>
          <t>Grouping/AUX plan TBD</t>
        </is>
      </c>
      <c r="G32" s="15" t="inlineStr">
        <is>
          <t>HELIX Ci3 W200FM-S3</t>
        </is>
      </c>
      <c r="H32" s="15" t="inlineStr">
        <is>
          <t>AUX / GROUPING REQUIRED</t>
        </is>
      </c>
    </row>
    <row r="33">
      <c r="A33" s="15" t="inlineStr">
        <is>
          <t>C - HELIX V TWELVE</t>
        </is>
      </c>
      <c r="B33" s="15" t="inlineStr">
        <is>
          <t>Front right premium woofer</t>
        </is>
      </c>
      <c r="C33" s="15" t="inlineStr">
        <is>
          <t>X577</t>
        </is>
      </c>
      <c r="D33" s="15" t="inlineStr">
        <is>
          <t>P - Front Door Right</t>
        </is>
      </c>
      <c r="E33" s="15" t="inlineStr">
        <is>
          <t>PAUDIO Premium Amp</t>
        </is>
      </c>
      <c r="F33" s="15" t="inlineStr">
        <is>
          <t>Grouping/AUX plan TBD</t>
        </is>
      </c>
      <c r="G33" s="15" t="inlineStr">
        <is>
          <t>HELIX Ci3 W200FM-S3</t>
        </is>
      </c>
      <c r="H33" s="15" t="inlineStr">
        <is>
          <t>AUX / GROUPING REQUIRED</t>
        </is>
      </c>
    </row>
    <row r="34">
      <c r="A34" s="15" t="inlineStr">
        <is>
          <t>C - HELIX V TWELVE</t>
        </is>
      </c>
      <c r="B34" s="15" t="inlineStr">
        <is>
          <t>Front left tweeter</t>
        </is>
      </c>
      <c r="C34" s="15" t="inlineStr">
        <is>
          <t>X565</t>
        </is>
      </c>
      <c r="D34" s="15" t="inlineStr">
        <is>
          <t>DT - Front Door Trim</t>
        </is>
      </c>
      <c r="E34" s="15" t="inlineStr">
        <is>
          <t>BAUDIO MCU / pass-through</t>
        </is>
      </c>
      <c r="F34" s="15" t="inlineStr">
        <is>
          <t>Grouping/AUX plan TBD</t>
        </is>
      </c>
      <c r="G34" s="15" t="inlineStr">
        <is>
          <t>HELIX T20FM-TI (Highland kit)</t>
        </is>
      </c>
      <c r="H34" s="15" t="inlineStr">
        <is>
          <t>AUX / GROUPING REQUIRED</t>
        </is>
      </c>
    </row>
    <row r="35">
      <c r="A35" s="15" t="inlineStr">
        <is>
          <t>C - HELIX V TWELVE</t>
        </is>
      </c>
      <c r="B35" s="15" t="inlineStr">
        <is>
          <t>Front right tweeter</t>
        </is>
      </c>
      <c r="C35" s="15" t="inlineStr">
        <is>
          <t>X575</t>
        </is>
      </c>
      <c r="D35" s="15" t="inlineStr">
        <is>
          <t>DT - Front Door Trim</t>
        </is>
      </c>
      <c r="E35" s="15" t="inlineStr">
        <is>
          <t>BAUDIO MCU / pass-through</t>
        </is>
      </c>
      <c r="F35" s="15" t="inlineStr">
        <is>
          <t>Grouping/AUX plan TBD</t>
        </is>
      </c>
      <c r="G35" s="15" t="inlineStr">
        <is>
          <t>HELIX T20FM-TI (Highland kit)</t>
        </is>
      </c>
      <c r="H35" s="15" t="inlineStr">
        <is>
          <t>AUX / GROUPING REQUIRED</t>
        </is>
      </c>
    </row>
    <row r="36">
      <c r="A36" s="15" t="inlineStr">
        <is>
          <t>C - HELIX V TWELVE</t>
        </is>
      </c>
      <c r="B36" s="15" t="inlineStr">
        <is>
          <t>Instrument panel left</t>
        </is>
      </c>
      <c r="C36" s="15" t="inlineStr">
        <is>
          <t>X566</t>
        </is>
      </c>
      <c r="D36" s="15" t="inlineStr">
        <is>
          <t>J - IP</t>
        </is>
      </c>
      <c r="E36" s="15" t="inlineStr">
        <is>
          <t>BAUDIO MCU</t>
        </is>
      </c>
      <c r="F36" s="15" t="inlineStr">
        <is>
          <t>Grouping/AUX plan TBD</t>
        </is>
      </c>
      <c r="G36" s="15" t="inlineStr">
        <is>
          <t>HELIX Ci3 M100FM-S3 (Highland kit)</t>
        </is>
      </c>
      <c r="H36" s="15" t="inlineStr">
        <is>
          <t>AUX / GROUPING REQUIRED</t>
        </is>
      </c>
    </row>
    <row r="37">
      <c r="A37" s="15" t="inlineStr">
        <is>
          <t>C - HELIX V TWELVE</t>
        </is>
      </c>
      <c r="B37" s="15" t="inlineStr">
        <is>
          <t>Instrument panel center</t>
        </is>
      </c>
      <c r="C37" s="15" t="inlineStr">
        <is>
          <t>X595</t>
        </is>
      </c>
      <c r="D37" s="15" t="inlineStr">
        <is>
          <t>J - IP</t>
        </is>
      </c>
      <c r="E37" s="15" t="inlineStr">
        <is>
          <t>BAUDIO MCU</t>
        </is>
      </c>
      <c r="F37" s="15" t="inlineStr">
        <is>
          <t>Grouping/AUX plan TBD</t>
        </is>
      </c>
      <c r="G37" s="15" t="inlineStr">
        <is>
          <t>HELIX Ci3 C100.2FM-S3 (Highland kit)</t>
        </is>
      </c>
      <c r="H37" s="15" t="inlineStr">
        <is>
          <t>AUX / GROUPING REQUIRED</t>
        </is>
      </c>
    </row>
    <row r="38">
      <c r="A38" s="15" t="inlineStr">
        <is>
          <t>C - HELIX V TWELVE</t>
        </is>
      </c>
      <c r="B38" s="15" t="inlineStr">
        <is>
          <t>Instrument panel right</t>
        </is>
      </c>
      <c r="C38" s="15" t="inlineStr">
        <is>
          <t>X576</t>
        </is>
      </c>
      <c r="D38" s="15" t="inlineStr">
        <is>
          <t>J - IP</t>
        </is>
      </c>
      <c r="E38" s="15" t="inlineStr">
        <is>
          <t>BAUDIO MCU</t>
        </is>
      </c>
      <c r="F38" s="15" t="inlineStr">
        <is>
          <t>Grouping/AUX plan TBD</t>
        </is>
      </c>
      <c r="G38" s="15" t="inlineStr">
        <is>
          <t>HELIX Ci3 M100FM-S3 (Highland kit)</t>
        </is>
      </c>
      <c r="H38" s="15" t="inlineStr">
        <is>
          <t>AUX / GROUPING REQUIRED</t>
        </is>
      </c>
    </row>
    <row r="39">
      <c r="A39" s="15" t="inlineStr">
        <is>
          <t>C - HELIX V TWELVE</t>
        </is>
      </c>
      <c r="B39" s="15" t="inlineStr">
        <is>
          <t>Front left door 80 mm</t>
        </is>
      </c>
      <c r="C39" s="15" t="inlineStr">
        <is>
          <t>X570</t>
        </is>
      </c>
      <c r="D39" s="15" t="inlineStr">
        <is>
          <t>DT - Front Door Trim</t>
        </is>
      </c>
      <c r="E39" s="15" t="inlineStr">
        <is>
          <t>PAUDIO Premium Amp</t>
        </is>
      </c>
      <c r="F39" s="15" t="inlineStr">
        <is>
          <t>Grouping/AUX plan TBD</t>
        </is>
      </c>
      <c r="G39" s="15" t="inlineStr">
        <is>
          <t>HELIX Ci5 M80FM-S3</t>
        </is>
      </c>
      <c r="H39" s="15" t="inlineStr">
        <is>
          <t>AUX / GROUPING REQUIRED</t>
        </is>
      </c>
    </row>
    <row r="40">
      <c r="A40" s="15" t="inlineStr">
        <is>
          <t>C - HELIX V TWELVE</t>
        </is>
      </c>
      <c r="B40" s="15" t="inlineStr">
        <is>
          <t>Front right door 80 mm</t>
        </is>
      </c>
      <c r="C40" s="15" t="inlineStr">
        <is>
          <t>X580</t>
        </is>
      </c>
      <c r="D40" s="15" t="inlineStr">
        <is>
          <t>DT - Front Door Trim</t>
        </is>
      </c>
      <c r="E40" s="15" t="inlineStr">
        <is>
          <t>PAUDIO Premium Amp</t>
        </is>
      </c>
      <c r="F40" s="15" t="inlineStr">
        <is>
          <t>Grouping/AUX plan TBD</t>
        </is>
      </c>
      <c r="G40" s="15" t="inlineStr">
        <is>
          <t>HELIX Ci5 M80FM-S3</t>
        </is>
      </c>
      <c r="H40" s="15" t="inlineStr">
        <is>
          <t>AUX / GROUPING REQUIRED</t>
        </is>
      </c>
    </row>
    <row r="41">
      <c r="A41" s="15" t="inlineStr">
        <is>
          <t>C - HELIX V TWELVE</t>
        </is>
      </c>
      <c r="B41" s="15" t="inlineStr">
        <is>
          <t>Rear left door</t>
        </is>
      </c>
      <c r="C41" s="15" t="inlineStr">
        <is>
          <t>X586</t>
        </is>
      </c>
      <c r="D41" s="15" t="inlineStr">
        <is>
          <t>RT - Rear Door Trim</t>
        </is>
      </c>
      <c r="E41" s="15" t="inlineStr">
        <is>
          <t>BAUDIO MCU; PAUDIO Premium Amp in PAUDIO topology</t>
        </is>
      </c>
      <c r="F41" s="15" t="inlineStr">
        <is>
          <t>Grouping/AUX plan TBD</t>
        </is>
      </c>
      <c r="G41" s="15" t="inlineStr">
        <is>
          <t>HELIX Ci3 M100FM-S3</t>
        </is>
      </c>
      <c r="H41" s="15" t="inlineStr">
        <is>
          <t>AUX / GROUPING REQUIRED</t>
        </is>
      </c>
    </row>
    <row r="42">
      <c r="A42" s="15" t="inlineStr">
        <is>
          <t>C - HELIX V TWELVE</t>
        </is>
      </c>
      <c r="B42" s="15" t="inlineStr">
        <is>
          <t>Rear right door</t>
        </is>
      </c>
      <c r="C42" s="15" t="inlineStr">
        <is>
          <t>X591</t>
        </is>
      </c>
      <c r="D42" s="15" t="inlineStr">
        <is>
          <t>RT - Rear Door Trim</t>
        </is>
      </c>
      <c r="E42" s="15" t="inlineStr">
        <is>
          <t>BAUDIO MCU; PAUDIO Premium Amp in PAUDIO topology</t>
        </is>
      </c>
      <c r="F42" s="15" t="inlineStr">
        <is>
          <t>Grouping/AUX plan TBD</t>
        </is>
      </c>
      <c r="G42" s="15" t="inlineStr">
        <is>
          <t>HELIX Ci3 M100FM-S3</t>
        </is>
      </c>
      <c r="H42" s="15" t="inlineStr">
        <is>
          <t>AUX / GROUPING REQUIRED</t>
        </is>
      </c>
    </row>
    <row r="43">
      <c r="A43" s="15" t="inlineStr">
        <is>
          <t>C - HELIX V TWELVE</t>
        </is>
      </c>
      <c r="B43" s="15" t="inlineStr">
        <is>
          <t>Parcel shelf left</t>
        </is>
      </c>
      <c r="C43" s="15" t="inlineStr">
        <is>
          <t>X588</t>
        </is>
      </c>
      <c r="D43" s="15" t="inlineStr">
        <is>
          <t>Q - Parcel Shelf</t>
        </is>
      </c>
      <c r="E43" s="15" t="inlineStr">
        <is>
          <t>PAUDIO Premium Amp</t>
        </is>
      </c>
      <c r="F43" s="15" t="inlineStr">
        <is>
          <t>Grouping/AUX plan TBD</t>
        </is>
      </c>
      <c r="G43" s="15" t="inlineStr">
        <is>
          <t>HELIX Ci3 M100FM-S3</t>
        </is>
      </c>
      <c r="H43" s="15" t="inlineStr">
        <is>
          <t>AUX / GROUPING REQUIRED</t>
        </is>
      </c>
    </row>
    <row r="44">
      <c r="A44" s="15" t="inlineStr">
        <is>
          <t>C - HELIX V TWELVE</t>
        </is>
      </c>
      <c r="B44" s="15" t="inlineStr">
        <is>
          <t>Parcel shelf right</t>
        </is>
      </c>
      <c r="C44" s="15" t="inlineStr">
        <is>
          <t>X593</t>
        </is>
      </c>
      <c r="D44" s="15" t="inlineStr">
        <is>
          <t>Q - Parcel Shelf</t>
        </is>
      </c>
      <c r="E44" s="15" t="inlineStr">
        <is>
          <t>PAUDIO Premium Amp</t>
        </is>
      </c>
      <c r="F44" s="15" t="inlineStr">
        <is>
          <t>Grouping/AUX plan TBD</t>
        </is>
      </c>
      <c r="G44" s="15" t="inlineStr">
        <is>
          <t>HELIX Ci3 M100FM-S3</t>
        </is>
      </c>
      <c r="H44" s="15" t="inlineStr">
        <is>
          <t>AUX / GROUPING REQUIRED</t>
        </is>
      </c>
    </row>
    <row r="45">
      <c r="A45" s="15" t="inlineStr">
        <is>
          <t>C - HELIX V TWELVE</t>
        </is>
      </c>
      <c r="B45" s="15" t="inlineStr">
        <is>
          <t>Headliner left</t>
        </is>
      </c>
      <c r="C45" s="15" t="inlineStr">
        <is>
          <t>X569</t>
        </is>
      </c>
      <c r="D45" s="15" t="inlineStr">
        <is>
          <t>K - Headliner</t>
        </is>
      </c>
      <c r="E45" s="15" t="inlineStr">
        <is>
          <t>PAUDIO option branch from MCU (not BAUDIO-assumed)</t>
        </is>
      </c>
      <c r="F45" s="15" t="inlineStr">
        <is>
          <t>Grouping/AUX plan TBD</t>
        </is>
      </c>
      <c r="G45" s="15" t="inlineStr">
        <is>
          <t>HELIX Ci5 M50FM-S3</t>
        </is>
      </c>
      <c r="H45" s="15" t="inlineStr">
        <is>
          <t>AUX / GROUPING REQUIRED</t>
        </is>
      </c>
    </row>
    <row r="46">
      <c r="A46" s="15" t="inlineStr">
        <is>
          <t>C - HELIX V TWELVE</t>
        </is>
      </c>
      <c r="B46" s="15" t="inlineStr">
        <is>
          <t>Headliner right</t>
        </is>
      </c>
      <c r="C46" s="15" t="inlineStr">
        <is>
          <t>X579</t>
        </is>
      </c>
      <c r="D46" s="15" t="inlineStr">
        <is>
          <t>K - Headliner</t>
        </is>
      </c>
      <c r="E46" s="15" t="inlineStr">
        <is>
          <t>PAUDIO option branch from MCU (not BAUDIO-assumed)</t>
        </is>
      </c>
      <c r="F46" s="15" t="inlineStr">
        <is>
          <t>Grouping/AUX plan TBD</t>
        </is>
      </c>
      <c r="G46" s="15" t="inlineStr">
        <is>
          <t>HELIX Ci5 M50FM-S3</t>
        </is>
      </c>
      <c r="H46" s="15" t="inlineStr">
        <is>
          <t>AUX / GROUPING REQUIRED</t>
        </is>
      </c>
    </row>
    <row r="47">
      <c r="A47" s="15" t="inlineStr">
        <is>
          <t>E - HELIX V EIGHTEEN full active</t>
        </is>
      </c>
      <c r="B47" s="15" t="inlineStr">
        <is>
          <t>Front left premium woofer</t>
        </is>
      </c>
      <c r="C47" s="15" t="inlineStr">
        <is>
          <t>X567</t>
        </is>
      </c>
      <c r="D47" s="15" t="inlineStr">
        <is>
          <t>D - Front Door Left</t>
        </is>
      </c>
      <c r="E47" s="15" t="inlineStr">
        <is>
          <t>PAUDIO Premium Amp</t>
        </is>
      </c>
      <c r="F47" s="15" t="inlineStr">
        <is>
          <t>Dedicated V EIGHTEEN channel - number TBD</t>
        </is>
      </c>
      <c r="G47" s="15" t="inlineStr">
        <is>
          <t>HELIX Ci3 W200FM-S3</t>
        </is>
      </c>
      <c r="H47" s="15" t="inlineStr">
        <is>
          <t>CHANNEL CAPACITY OK / OVER PRIOR BUDGET</t>
        </is>
      </c>
    </row>
    <row r="48">
      <c r="A48" s="15" t="inlineStr">
        <is>
          <t>E - HELIX V EIGHTEEN full active</t>
        </is>
      </c>
      <c r="B48" s="15" t="inlineStr">
        <is>
          <t>Front right premium woofer</t>
        </is>
      </c>
      <c r="C48" s="15" t="inlineStr">
        <is>
          <t>X577</t>
        </is>
      </c>
      <c r="D48" s="15" t="inlineStr">
        <is>
          <t>P - Front Door Right</t>
        </is>
      </c>
      <c r="E48" s="15" t="inlineStr">
        <is>
          <t>PAUDIO Premium Amp</t>
        </is>
      </c>
      <c r="F48" s="15" t="inlineStr">
        <is>
          <t>Dedicated V EIGHTEEN channel - number TBD</t>
        </is>
      </c>
      <c r="G48" s="15" t="inlineStr">
        <is>
          <t>HELIX Ci3 W200FM-S3</t>
        </is>
      </c>
      <c r="H48" s="15" t="inlineStr">
        <is>
          <t>CHANNEL CAPACITY OK / OVER PRIOR BUDGET</t>
        </is>
      </c>
    </row>
    <row r="49">
      <c r="A49" s="15" t="inlineStr">
        <is>
          <t>E - HELIX V EIGHTEEN full active</t>
        </is>
      </c>
      <c r="B49" s="15" t="inlineStr">
        <is>
          <t>Front left tweeter</t>
        </is>
      </c>
      <c r="C49" s="15" t="inlineStr">
        <is>
          <t>X565</t>
        </is>
      </c>
      <c r="D49" s="15" t="inlineStr">
        <is>
          <t>DT - Front Door Trim</t>
        </is>
      </c>
      <c r="E49" s="15" t="inlineStr">
        <is>
          <t>BAUDIO MCU / pass-through</t>
        </is>
      </c>
      <c r="F49" s="15" t="inlineStr">
        <is>
          <t>Dedicated V EIGHTEEN channel - number TBD</t>
        </is>
      </c>
      <c r="G49" s="15" t="inlineStr">
        <is>
          <t>HELIX T20FM-TI (Highland kit)</t>
        </is>
      </c>
      <c r="H49" s="15" t="inlineStr">
        <is>
          <t>CHANNEL CAPACITY OK / OVER PRIOR BUDGET</t>
        </is>
      </c>
    </row>
    <row r="50">
      <c r="A50" s="15" t="inlineStr">
        <is>
          <t>E - HELIX V EIGHTEEN full active</t>
        </is>
      </c>
      <c r="B50" s="15" t="inlineStr">
        <is>
          <t>Front right tweeter</t>
        </is>
      </c>
      <c r="C50" s="15" t="inlineStr">
        <is>
          <t>X575</t>
        </is>
      </c>
      <c r="D50" s="15" t="inlineStr">
        <is>
          <t>DT - Front Door Trim</t>
        </is>
      </c>
      <c r="E50" s="15" t="inlineStr">
        <is>
          <t>BAUDIO MCU / pass-through</t>
        </is>
      </c>
      <c r="F50" s="15" t="inlineStr">
        <is>
          <t>Dedicated V EIGHTEEN channel - number TBD</t>
        </is>
      </c>
      <c r="G50" s="15" t="inlineStr">
        <is>
          <t>HELIX T20FM-TI (Highland kit)</t>
        </is>
      </c>
      <c r="H50" s="15" t="inlineStr">
        <is>
          <t>CHANNEL CAPACITY OK / OVER PRIOR BUDGET</t>
        </is>
      </c>
    </row>
    <row r="51">
      <c r="A51" s="15" t="inlineStr">
        <is>
          <t>E - HELIX V EIGHTEEN full active</t>
        </is>
      </c>
      <c r="B51" s="15" t="inlineStr">
        <is>
          <t>Instrument panel left</t>
        </is>
      </c>
      <c r="C51" s="15" t="inlineStr">
        <is>
          <t>X566</t>
        </is>
      </c>
      <c r="D51" s="15" t="inlineStr">
        <is>
          <t>J - IP</t>
        </is>
      </c>
      <c r="E51" s="15" t="inlineStr">
        <is>
          <t>BAUDIO MCU</t>
        </is>
      </c>
      <c r="F51" s="15" t="inlineStr">
        <is>
          <t>Dedicated V EIGHTEEN channel - number TBD</t>
        </is>
      </c>
      <c r="G51" s="15" t="inlineStr">
        <is>
          <t>HELIX Ci3 M100FM-S3 (Highland kit)</t>
        </is>
      </c>
      <c r="H51" s="15" t="inlineStr">
        <is>
          <t>CHANNEL CAPACITY OK / OVER PRIOR BUDGET</t>
        </is>
      </c>
    </row>
    <row r="52">
      <c r="A52" s="15" t="inlineStr">
        <is>
          <t>E - HELIX V EIGHTEEN full active</t>
        </is>
      </c>
      <c r="B52" s="15" t="inlineStr">
        <is>
          <t>Instrument panel center</t>
        </is>
      </c>
      <c r="C52" s="15" t="inlineStr">
        <is>
          <t>X595</t>
        </is>
      </c>
      <c r="D52" s="15" t="inlineStr">
        <is>
          <t>J - IP</t>
        </is>
      </c>
      <c r="E52" s="15" t="inlineStr">
        <is>
          <t>BAUDIO MCU</t>
        </is>
      </c>
      <c r="F52" s="15" t="inlineStr">
        <is>
          <t>Dedicated V EIGHTEEN channel - number TBD</t>
        </is>
      </c>
      <c r="G52" s="15" t="inlineStr">
        <is>
          <t>HELIX Ci3 C100.2FM-S3 (Highland kit)</t>
        </is>
      </c>
      <c r="H52" s="15" t="inlineStr">
        <is>
          <t>CHANNEL CAPACITY OK / OVER PRIOR BUDGET</t>
        </is>
      </c>
    </row>
    <row r="53">
      <c r="A53" s="15" t="inlineStr">
        <is>
          <t>E - HELIX V EIGHTEEN full active</t>
        </is>
      </c>
      <c r="B53" s="15" t="inlineStr">
        <is>
          <t>Instrument panel right</t>
        </is>
      </c>
      <c r="C53" s="15" t="inlineStr">
        <is>
          <t>X576</t>
        </is>
      </c>
      <c r="D53" s="15" t="inlineStr">
        <is>
          <t>J - IP</t>
        </is>
      </c>
      <c r="E53" s="15" t="inlineStr">
        <is>
          <t>BAUDIO MCU</t>
        </is>
      </c>
      <c r="F53" s="15" t="inlineStr">
        <is>
          <t>Dedicated V EIGHTEEN channel - number TBD</t>
        </is>
      </c>
      <c r="G53" s="15" t="inlineStr">
        <is>
          <t>HELIX Ci3 M100FM-S3 (Highland kit)</t>
        </is>
      </c>
      <c r="H53" s="15" t="inlineStr">
        <is>
          <t>CHANNEL CAPACITY OK / OVER PRIOR BUDGET</t>
        </is>
      </c>
    </row>
    <row r="54">
      <c r="A54" s="15" t="inlineStr">
        <is>
          <t>E - HELIX V EIGHTEEN full active</t>
        </is>
      </c>
      <c r="B54" s="15" t="inlineStr">
        <is>
          <t>Front left door 80 mm</t>
        </is>
      </c>
      <c r="C54" s="15" t="inlineStr">
        <is>
          <t>X570</t>
        </is>
      </c>
      <c r="D54" s="15" t="inlineStr">
        <is>
          <t>DT - Front Door Trim</t>
        </is>
      </c>
      <c r="E54" s="15" t="inlineStr">
        <is>
          <t>PAUDIO Premium Amp</t>
        </is>
      </c>
      <c r="F54" s="15" t="inlineStr">
        <is>
          <t>Dedicated V EIGHTEEN channel - number TBD</t>
        </is>
      </c>
      <c r="G54" s="15" t="inlineStr">
        <is>
          <t>HELIX Ci5 M80FM-S3</t>
        </is>
      </c>
      <c r="H54" s="15" t="inlineStr">
        <is>
          <t>CHANNEL CAPACITY OK / OVER PRIOR BUDGET</t>
        </is>
      </c>
    </row>
    <row r="55">
      <c r="A55" s="15" t="inlineStr">
        <is>
          <t>E - HELIX V EIGHTEEN full active</t>
        </is>
      </c>
      <c r="B55" s="15" t="inlineStr">
        <is>
          <t>Front right door 80 mm</t>
        </is>
      </c>
      <c r="C55" s="15" t="inlineStr">
        <is>
          <t>X580</t>
        </is>
      </c>
      <c r="D55" s="15" t="inlineStr">
        <is>
          <t>DT - Front Door Trim</t>
        </is>
      </c>
      <c r="E55" s="15" t="inlineStr">
        <is>
          <t>PAUDIO Premium Amp</t>
        </is>
      </c>
      <c r="F55" s="15" t="inlineStr">
        <is>
          <t>Dedicated V EIGHTEEN channel - number TBD</t>
        </is>
      </c>
      <c r="G55" s="15" t="inlineStr">
        <is>
          <t>HELIX Ci5 M80FM-S3</t>
        </is>
      </c>
      <c r="H55" s="15" t="inlineStr">
        <is>
          <t>CHANNEL CAPACITY OK / OVER PRIOR BUDGET</t>
        </is>
      </c>
    </row>
    <row r="56">
      <c r="A56" s="15" t="inlineStr">
        <is>
          <t>E - HELIX V EIGHTEEN full active</t>
        </is>
      </c>
      <c r="B56" s="15" t="inlineStr">
        <is>
          <t>Rear left door</t>
        </is>
      </c>
      <c r="C56" s="15" t="inlineStr">
        <is>
          <t>X586</t>
        </is>
      </c>
      <c r="D56" s="15" t="inlineStr">
        <is>
          <t>RT - Rear Door Trim</t>
        </is>
      </c>
      <c r="E56" s="15" t="inlineStr">
        <is>
          <t>BAUDIO MCU; PAUDIO Premium Amp in PAUDIO topology</t>
        </is>
      </c>
      <c r="F56" s="15" t="inlineStr">
        <is>
          <t>Dedicated V EIGHTEEN channel - number TBD</t>
        </is>
      </c>
      <c r="G56" s="15" t="inlineStr">
        <is>
          <t>HELIX Ci3 M100FM-S3</t>
        </is>
      </c>
      <c r="H56" s="15" t="inlineStr">
        <is>
          <t>CHANNEL CAPACITY OK / OVER PRIOR BUDGET</t>
        </is>
      </c>
    </row>
    <row r="57">
      <c r="A57" s="15" t="inlineStr">
        <is>
          <t>E - HELIX V EIGHTEEN full active</t>
        </is>
      </c>
      <c r="B57" s="15" t="inlineStr">
        <is>
          <t>Rear right door</t>
        </is>
      </c>
      <c r="C57" s="15" t="inlineStr">
        <is>
          <t>X591</t>
        </is>
      </c>
      <c r="D57" s="15" t="inlineStr">
        <is>
          <t>RT - Rear Door Trim</t>
        </is>
      </c>
      <c r="E57" s="15" t="inlineStr">
        <is>
          <t>BAUDIO MCU; PAUDIO Premium Amp in PAUDIO topology</t>
        </is>
      </c>
      <c r="F57" s="15" t="inlineStr">
        <is>
          <t>Dedicated V EIGHTEEN channel - number TBD</t>
        </is>
      </c>
      <c r="G57" s="15" t="inlineStr">
        <is>
          <t>HELIX Ci3 M100FM-S3</t>
        </is>
      </c>
      <c r="H57" s="15" t="inlineStr">
        <is>
          <t>CHANNEL CAPACITY OK / OVER PRIOR BUDGET</t>
        </is>
      </c>
    </row>
    <row r="58">
      <c r="A58" s="15" t="inlineStr">
        <is>
          <t>E - HELIX V EIGHTEEN full active</t>
        </is>
      </c>
      <c r="B58" s="15" t="inlineStr">
        <is>
          <t>Parcel shelf left</t>
        </is>
      </c>
      <c r="C58" s="15" t="inlineStr">
        <is>
          <t>X588</t>
        </is>
      </c>
      <c r="D58" s="15" t="inlineStr">
        <is>
          <t>Q - Parcel Shelf</t>
        </is>
      </c>
      <c r="E58" s="15" t="inlineStr">
        <is>
          <t>PAUDIO Premium Amp</t>
        </is>
      </c>
      <c r="F58" s="15" t="inlineStr">
        <is>
          <t>Dedicated V EIGHTEEN channel - number TBD</t>
        </is>
      </c>
      <c r="G58" s="15" t="inlineStr">
        <is>
          <t>HELIX Ci3 M100FM-S3</t>
        </is>
      </c>
      <c r="H58" s="15" t="inlineStr">
        <is>
          <t>CHANNEL CAPACITY OK / OVER PRIOR BUDGET</t>
        </is>
      </c>
    </row>
    <row r="59">
      <c r="A59" s="15" t="inlineStr">
        <is>
          <t>E - HELIX V EIGHTEEN full active</t>
        </is>
      </c>
      <c r="B59" s="15" t="inlineStr">
        <is>
          <t>Parcel shelf right</t>
        </is>
      </c>
      <c r="C59" s="15" t="inlineStr">
        <is>
          <t>X593</t>
        </is>
      </c>
      <c r="D59" s="15" t="inlineStr">
        <is>
          <t>Q - Parcel Shelf</t>
        </is>
      </c>
      <c r="E59" s="15" t="inlineStr">
        <is>
          <t>PAUDIO Premium Amp</t>
        </is>
      </c>
      <c r="F59" s="15" t="inlineStr">
        <is>
          <t>Dedicated V EIGHTEEN channel - number TBD</t>
        </is>
      </c>
      <c r="G59" s="15" t="inlineStr">
        <is>
          <t>HELIX Ci3 M100FM-S3</t>
        </is>
      </c>
      <c r="H59" s="15" t="inlineStr">
        <is>
          <t>CHANNEL CAPACITY OK / OVER PRIOR BUDGET</t>
        </is>
      </c>
    </row>
    <row r="60">
      <c r="A60" s="15" t="inlineStr">
        <is>
          <t>E - HELIX V EIGHTEEN full active</t>
        </is>
      </c>
      <c r="B60" s="15" t="inlineStr">
        <is>
          <t>Headliner left</t>
        </is>
      </c>
      <c r="C60" s="15" t="inlineStr">
        <is>
          <t>X569</t>
        </is>
      </c>
      <c r="D60" s="15" t="inlineStr">
        <is>
          <t>K - Headliner</t>
        </is>
      </c>
      <c r="E60" s="15" t="inlineStr">
        <is>
          <t>PAUDIO option branch from MCU (not BAUDIO-assumed)</t>
        </is>
      </c>
      <c r="F60" s="15" t="inlineStr">
        <is>
          <t>Dedicated V EIGHTEEN channel - number TBD</t>
        </is>
      </c>
      <c r="G60" s="15" t="inlineStr">
        <is>
          <t>HELIX Ci5 M50FM-S3</t>
        </is>
      </c>
      <c r="H60" s="15" t="inlineStr">
        <is>
          <t>CHANNEL CAPACITY OK / OVER PRIOR BUDGET</t>
        </is>
      </c>
    </row>
    <row r="61">
      <c r="A61" s="15" t="inlineStr">
        <is>
          <t>E - HELIX V EIGHTEEN full active</t>
        </is>
      </c>
      <c r="B61" s="15" t="inlineStr">
        <is>
          <t>Headliner right</t>
        </is>
      </c>
      <c r="C61" s="15" t="inlineStr">
        <is>
          <t>X579</t>
        </is>
      </c>
      <c r="D61" s="15" t="inlineStr">
        <is>
          <t>K - Headliner</t>
        </is>
      </c>
      <c r="E61" s="15" t="inlineStr">
        <is>
          <t>PAUDIO option branch from MCU (not BAUDIO-assumed)</t>
        </is>
      </c>
      <c r="F61" s="15" t="inlineStr">
        <is>
          <t>Dedicated V EIGHTEEN channel - number TBD</t>
        </is>
      </c>
      <c r="G61" s="15" t="inlineStr">
        <is>
          <t>HELIX Ci5 M50FM-S3</t>
        </is>
      </c>
      <c r="H61" s="15" t="inlineStr">
        <is>
          <t>CHANNEL CAPACITY OK / OVER PRIOR BUDGET</t>
        </is>
      </c>
    </row>
    <row r="62">
      <c r="A62" s="15" t="inlineStr">
        <is>
          <t>F - PowerBass price scout</t>
        </is>
      </c>
      <c r="B62" s="15" t="inlineStr">
        <is>
          <t>Front left premium woofer</t>
        </is>
      </c>
      <c r="C62" s="15" t="inlineStr">
        <is>
          <t>X567</t>
        </is>
      </c>
      <c r="D62" s="15" t="inlineStr">
        <is>
          <t>D - Front Door Left</t>
        </is>
      </c>
      <c r="E62" s="15" t="inlineStr">
        <is>
          <t>PAUDIO Premium Amp</t>
        </is>
      </c>
      <c r="F62" s="15" t="inlineStr">
        <is>
          <t>Research only</t>
        </is>
      </c>
      <c r="G62" s="15" t="inlineStr">
        <is>
          <t>HELIX Ci3 W200FM-S3</t>
        </is>
      </c>
      <c r="H62" s="15" t="inlineStr">
        <is>
          <t>RESEARCH ONLY</t>
        </is>
      </c>
    </row>
    <row r="63">
      <c r="A63" s="15" t="inlineStr">
        <is>
          <t>F - PowerBass price scout</t>
        </is>
      </c>
      <c r="B63" s="15" t="inlineStr">
        <is>
          <t>Front right premium woofer</t>
        </is>
      </c>
      <c r="C63" s="15" t="inlineStr">
        <is>
          <t>X577</t>
        </is>
      </c>
      <c r="D63" s="15" t="inlineStr">
        <is>
          <t>P - Front Door Right</t>
        </is>
      </c>
      <c r="E63" s="15" t="inlineStr">
        <is>
          <t>PAUDIO Premium Amp</t>
        </is>
      </c>
      <c r="F63" s="15" t="inlineStr">
        <is>
          <t>Research only</t>
        </is>
      </c>
      <c r="G63" s="15" t="inlineStr">
        <is>
          <t>HELIX Ci3 W200FM-S3</t>
        </is>
      </c>
      <c r="H63" s="15" t="inlineStr">
        <is>
          <t>RESEARCH ONLY</t>
        </is>
      </c>
    </row>
    <row r="64">
      <c r="A64" s="15" t="inlineStr">
        <is>
          <t>F - PowerBass price scout</t>
        </is>
      </c>
      <c r="B64" s="15" t="inlineStr">
        <is>
          <t>Front left tweeter</t>
        </is>
      </c>
      <c r="C64" s="15" t="inlineStr">
        <is>
          <t>X565</t>
        </is>
      </c>
      <c r="D64" s="15" t="inlineStr">
        <is>
          <t>DT - Front Door Trim</t>
        </is>
      </c>
      <c r="E64" s="15" t="inlineStr">
        <is>
          <t>BAUDIO MCU / pass-through</t>
        </is>
      </c>
      <c r="F64" s="15" t="inlineStr">
        <is>
          <t>Research only</t>
        </is>
      </c>
      <c r="G64" s="15" t="inlineStr">
        <is>
          <t>HELIX T20FM-TI (Highland kit)</t>
        </is>
      </c>
      <c r="H64" s="15" t="inlineStr">
        <is>
          <t>RESEARCH ONLY</t>
        </is>
      </c>
    </row>
    <row r="65">
      <c r="A65" s="15" t="inlineStr">
        <is>
          <t>F - PowerBass price scout</t>
        </is>
      </c>
      <c r="B65" s="15" t="inlineStr">
        <is>
          <t>Front right tweeter</t>
        </is>
      </c>
      <c r="C65" s="15" t="inlineStr">
        <is>
          <t>X575</t>
        </is>
      </c>
      <c r="D65" s="15" t="inlineStr">
        <is>
          <t>DT - Front Door Trim</t>
        </is>
      </c>
      <c r="E65" s="15" t="inlineStr">
        <is>
          <t>BAUDIO MCU / pass-through</t>
        </is>
      </c>
      <c r="F65" s="15" t="inlineStr">
        <is>
          <t>Research only</t>
        </is>
      </c>
      <c r="G65" s="15" t="inlineStr">
        <is>
          <t>HELIX T20FM-TI (Highland kit)</t>
        </is>
      </c>
      <c r="H65" s="15" t="inlineStr">
        <is>
          <t>RESEARCH ONLY</t>
        </is>
      </c>
    </row>
    <row r="66">
      <c r="A66" s="15" t="inlineStr">
        <is>
          <t>F - PowerBass price scout</t>
        </is>
      </c>
      <c r="B66" s="15" t="inlineStr">
        <is>
          <t>Instrument panel left</t>
        </is>
      </c>
      <c r="C66" s="15" t="inlineStr">
        <is>
          <t>X566</t>
        </is>
      </c>
      <c r="D66" s="15" t="inlineStr">
        <is>
          <t>J - IP</t>
        </is>
      </c>
      <c r="E66" s="15" t="inlineStr">
        <is>
          <t>BAUDIO MCU</t>
        </is>
      </c>
      <c r="F66" s="15" t="inlineStr">
        <is>
          <t>Research only</t>
        </is>
      </c>
      <c r="G66" s="15" t="inlineStr">
        <is>
          <t>HELIX Ci3 M100FM-S3 (Highland kit)</t>
        </is>
      </c>
      <c r="H66" s="15" t="inlineStr">
        <is>
          <t>RESEARCH ONLY</t>
        </is>
      </c>
    </row>
    <row r="67">
      <c r="A67" s="15" t="inlineStr">
        <is>
          <t>F - PowerBass price scout</t>
        </is>
      </c>
      <c r="B67" s="15" t="inlineStr">
        <is>
          <t>Instrument panel center</t>
        </is>
      </c>
      <c r="C67" s="15" t="inlineStr">
        <is>
          <t>X595</t>
        </is>
      </c>
      <c r="D67" s="15" t="inlineStr">
        <is>
          <t>J - IP</t>
        </is>
      </c>
      <c r="E67" s="15" t="inlineStr">
        <is>
          <t>BAUDIO MCU</t>
        </is>
      </c>
      <c r="F67" s="15" t="inlineStr">
        <is>
          <t>Research only</t>
        </is>
      </c>
      <c r="G67" s="15" t="inlineStr">
        <is>
          <t>HELIX Ci3 C100.2FM-S3 (Highland kit)</t>
        </is>
      </c>
      <c r="H67" s="15" t="inlineStr">
        <is>
          <t>RESEARCH ONLY</t>
        </is>
      </c>
    </row>
    <row r="68">
      <c r="A68" s="15" t="inlineStr">
        <is>
          <t>F - PowerBass price scout</t>
        </is>
      </c>
      <c r="B68" s="15" t="inlineStr">
        <is>
          <t>Instrument panel right</t>
        </is>
      </c>
      <c r="C68" s="15" t="inlineStr">
        <is>
          <t>X576</t>
        </is>
      </c>
      <c r="D68" s="15" t="inlineStr">
        <is>
          <t>J - IP</t>
        </is>
      </c>
      <c r="E68" s="15" t="inlineStr">
        <is>
          <t>BAUDIO MCU</t>
        </is>
      </c>
      <c r="F68" s="15" t="inlineStr">
        <is>
          <t>Research only</t>
        </is>
      </c>
      <c r="G68" s="15" t="inlineStr">
        <is>
          <t>HELIX Ci3 M100FM-S3 (Highland kit)</t>
        </is>
      </c>
      <c r="H68" s="15" t="inlineStr">
        <is>
          <t>RESEARCH ONLY</t>
        </is>
      </c>
    </row>
    <row r="69">
      <c r="A69" s="15" t="inlineStr">
        <is>
          <t>F - PowerBass price scout</t>
        </is>
      </c>
      <c r="B69" s="15" t="inlineStr">
        <is>
          <t>Front left door 80 mm</t>
        </is>
      </c>
      <c r="C69" s="15" t="inlineStr">
        <is>
          <t>X570</t>
        </is>
      </c>
      <c r="D69" s="15" t="inlineStr">
        <is>
          <t>DT - Front Door Trim</t>
        </is>
      </c>
      <c r="E69" s="15" t="inlineStr">
        <is>
          <t>PAUDIO Premium Amp</t>
        </is>
      </c>
      <c r="F69" s="15" t="inlineStr">
        <is>
          <t>Research only</t>
        </is>
      </c>
      <c r="G69" s="15" t="inlineStr">
        <is>
          <t>HELIX Ci5 M80FM-S3</t>
        </is>
      </c>
      <c r="H69" s="15" t="inlineStr">
        <is>
          <t>RESEARCH ONLY</t>
        </is>
      </c>
    </row>
    <row r="70">
      <c r="A70" s="15" t="inlineStr">
        <is>
          <t>F - PowerBass price scout</t>
        </is>
      </c>
      <c r="B70" s="15" t="inlineStr">
        <is>
          <t>Front right door 80 mm</t>
        </is>
      </c>
      <c r="C70" s="15" t="inlineStr">
        <is>
          <t>X580</t>
        </is>
      </c>
      <c r="D70" s="15" t="inlineStr">
        <is>
          <t>DT - Front Door Trim</t>
        </is>
      </c>
      <c r="E70" s="15" t="inlineStr">
        <is>
          <t>PAUDIO Premium Amp</t>
        </is>
      </c>
      <c r="F70" s="15" t="inlineStr">
        <is>
          <t>Research only</t>
        </is>
      </c>
      <c r="G70" s="15" t="inlineStr">
        <is>
          <t>HELIX Ci5 M80FM-S3</t>
        </is>
      </c>
      <c r="H70" s="15" t="inlineStr">
        <is>
          <t>RESEARCH ONLY</t>
        </is>
      </c>
    </row>
    <row r="71">
      <c r="A71" s="15" t="inlineStr">
        <is>
          <t>F - PowerBass price scout</t>
        </is>
      </c>
      <c r="B71" s="15" t="inlineStr">
        <is>
          <t>Rear left door</t>
        </is>
      </c>
      <c r="C71" s="15" t="inlineStr">
        <is>
          <t>X586</t>
        </is>
      </c>
      <c r="D71" s="15" t="inlineStr">
        <is>
          <t>RT - Rear Door Trim</t>
        </is>
      </c>
      <c r="E71" s="15" t="inlineStr">
        <is>
          <t>BAUDIO MCU; PAUDIO Premium Amp in PAUDIO topology</t>
        </is>
      </c>
      <c r="F71" s="15" t="inlineStr">
        <is>
          <t>Research only</t>
        </is>
      </c>
      <c r="G71" s="15" t="inlineStr">
        <is>
          <t>HELIX Ci3 M100FM-S3</t>
        </is>
      </c>
      <c r="H71" s="15" t="inlineStr">
        <is>
          <t>RESEARCH ONLY</t>
        </is>
      </c>
    </row>
    <row r="72">
      <c r="A72" s="15" t="inlineStr">
        <is>
          <t>F - PowerBass price scout</t>
        </is>
      </c>
      <c r="B72" s="15" t="inlineStr">
        <is>
          <t>Rear right door</t>
        </is>
      </c>
      <c r="C72" s="15" t="inlineStr">
        <is>
          <t>X591</t>
        </is>
      </c>
      <c r="D72" s="15" t="inlineStr">
        <is>
          <t>RT - Rear Door Trim</t>
        </is>
      </c>
      <c r="E72" s="15" t="inlineStr">
        <is>
          <t>BAUDIO MCU; PAUDIO Premium Amp in PAUDIO topology</t>
        </is>
      </c>
      <c r="F72" s="15" t="inlineStr">
        <is>
          <t>Research only</t>
        </is>
      </c>
      <c r="G72" s="15" t="inlineStr">
        <is>
          <t>HELIX Ci3 M100FM-S3</t>
        </is>
      </c>
      <c r="H72" s="15" t="inlineStr">
        <is>
          <t>RESEARCH ONLY</t>
        </is>
      </c>
    </row>
    <row r="73">
      <c r="A73" s="15" t="inlineStr">
        <is>
          <t>F - PowerBass price scout</t>
        </is>
      </c>
      <c r="B73" s="15" t="inlineStr">
        <is>
          <t>Parcel shelf left</t>
        </is>
      </c>
      <c r="C73" s="15" t="inlineStr">
        <is>
          <t>X588</t>
        </is>
      </c>
      <c r="D73" s="15" t="inlineStr">
        <is>
          <t>Q - Parcel Shelf</t>
        </is>
      </c>
      <c r="E73" s="15" t="inlineStr">
        <is>
          <t>PAUDIO Premium Amp</t>
        </is>
      </c>
      <c r="F73" s="15" t="inlineStr">
        <is>
          <t>Research only</t>
        </is>
      </c>
      <c r="G73" s="15" t="inlineStr">
        <is>
          <t>HELIX Ci3 M100FM-S3</t>
        </is>
      </c>
      <c r="H73" s="15" t="inlineStr">
        <is>
          <t>RESEARCH ONLY</t>
        </is>
      </c>
    </row>
    <row r="74">
      <c r="A74" s="15" t="inlineStr">
        <is>
          <t>F - PowerBass price scout</t>
        </is>
      </c>
      <c r="B74" s="15" t="inlineStr">
        <is>
          <t>Parcel shelf right</t>
        </is>
      </c>
      <c r="C74" s="15" t="inlineStr">
        <is>
          <t>X593</t>
        </is>
      </c>
      <c r="D74" s="15" t="inlineStr">
        <is>
          <t>Q - Parcel Shelf</t>
        </is>
      </c>
      <c r="E74" s="15" t="inlineStr">
        <is>
          <t>PAUDIO Premium Amp</t>
        </is>
      </c>
      <c r="F74" s="15" t="inlineStr">
        <is>
          <t>Research only</t>
        </is>
      </c>
      <c r="G74" s="15" t="inlineStr">
        <is>
          <t>HELIX Ci3 M100FM-S3</t>
        </is>
      </c>
      <c r="H74" s="15" t="inlineStr">
        <is>
          <t>RESEARCH ONLY</t>
        </is>
      </c>
    </row>
    <row r="75">
      <c r="A75" s="15" t="inlineStr">
        <is>
          <t>F - PowerBass price scout</t>
        </is>
      </c>
      <c r="B75" s="15" t="inlineStr">
        <is>
          <t>Headliner left</t>
        </is>
      </c>
      <c r="C75" s="15" t="inlineStr">
        <is>
          <t>X569</t>
        </is>
      </c>
      <c r="D75" s="15" t="inlineStr">
        <is>
          <t>K - Headliner</t>
        </is>
      </c>
      <c r="E75" s="15" t="inlineStr">
        <is>
          <t>PAUDIO option branch from MCU (not BAUDIO-assumed)</t>
        </is>
      </c>
      <c r="F75" s="15" t="inlineStr">
        <is>
          <t>Research only</t>
        </is>
      </c>
      <c r="G75" s="15" t="inlineStr">
        <is>
          <t>HELIX Ci5 M50FM-S3</t>
        </is>
      </c>
      <c r="H75" s="15" t="inlineStr">
        <is>
          <t>RESEARCH ONLY</t>
        </is>
      </c>
    </row>
    <row r="76">
      <c r="A76" s="15" t="inlineStr">
        <is>
          <t>F - PowerBass price scout</t>
        </is>
      </c>
      <c r="B76" s="15" t="inlineStr">
        <is>
          <t>Headliner right</t>
        </is>
      </c>
      <c r="C76" s="15" t="inlineStr">
        <is>
          <t>X579</t>
        </is>
      </c>
      <c r="D76" s="15" t="inlineStr">
        <is>
          <t>K - Headliner</t>
        </is>
      </c>
      <c r="E76" s="15" t="inlineStr">
        <is>
          <t>PAUDIO option branch from MCU (not BAUDIO-assumed)</t>
        </is>
      </c>
      <c r="F76" s="15" t="inlineStr">
        <is>
          <t>Research only</t>
        </is>
      </c>
      <c r="G76" s="15" t="inlineStr">
        <is>
          <t>HELIX Ci5 M50FM-S3</t>
        </is>
      </c>
      <c r="H76" s="15" t="inlineStr">
        <is>
          <t>RESEARCH ONLY</t>
        </is>
      </c>
    </row>
  </sheetData>
  <autoFilter ref="A1:H76"/>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38" customWidth="1" min="1" max="1"/>
    <col width="18" customWidth="1" min="2" max="2"/>
    <col width="25" customWidth="1" min="3" max="3"/>
    <col width="68" customWidth="1" min="4" max="4"/>
  </cols>
  <sheetData>
    <row r="1">
      <c r="A1" s="76" t="inlineStr">
        <is>
          <t>Asset</t>
        </is>
      </c>
      <c r="B1" s="76" t="inlineStr">
        <is>
          <t>Captured</t>
        </is>
      </c>
      <c r="C1" s="76" t="inlineStr">
        <is>
          <t>Embedded in playground</t>
        </is>
      </c>
      <c r="D1" s="76" t="inlineStr">
        <is>
          <t>Purpose / missing action</t>
        </is>
      </c>
    </row>
    <row r="2">
      <c r="A2" s="15" t="inlineStr">
        <is>
          <t>audio_lhd.svg</t>
        </is>
      </c>
      <c r="B2" s="15" t="inlineStr">
        <is>
          <t>YES - CURRENT CAPTURE</t>
        </is>
      </c>
      <c r="C2" s="15" t="inlineStr">
        <is>
          <t>YES - v2.0</t>
        </is>
      </c>
      <c r="D2" s="15" t="inlineStr">
        <is>
          <t>Exact SOP9 Audio-LHD SVG from the verified 2026-09-10 collector capture.</t>
        </is>
      </c>
    </row>
    <row r="3">
      <c r="A3" s="15" t="inlineStr">
        <is>
          <t>audio_premium_amp.svg</t>
        </is>
      </c>
      <c r="B3" s="15" t="inlineStr">
        <is>
          <t>YES - CURRENT CAPTURE</t>
        </is>
      </c>
      <c r="C3" s="15" t="inlineStr">
        <is>
          <t>YES - v2.0</t>
        </is>
      </c>
      <c r="D3" s="15" t="inlineStr">
        <is>
          <t>Exact SOP9 Premium Amp SVG from the verified 2026-09-10 collector capture.</t>
        </is>
      </c>
    </row>
    <row r="4">
      <c r="A4" s="15" t="inlineStr">
        <is>
          <t>connector_reference_export.json</t>
        </is>
      </c>
      <c r="B4" s="15" t="inlineStr">
        <is>
          <t>YES - CURRENT CAPTURE</t>
        </is>
      </c>
      <c r="C4" s="15" t="inlineStr">
        <is>
          <t>TARGET DATA EMBEDDED + SOURCE ZIP</t>
        </is>
      </c>
      <c r="D4" s="15" t="inlineStr">
        <is>
          <t>97 audio-related connector metadata records were generated from the Tesla connector reference; full raw source remains in the collector ZIP.</t>
        </is>
      </c>
    </row>
    <row r="5">
      <c r="A5" s="15" t="inlineStr">
        <is>
          <t>Tesla index CSVs</t>
        </is>
      </c>
      <c r="B5" s="15" t="inlineStr">
        <is>
          <t>YES - 3/3</t>
        </is>
      </c>
      <c r="C5" s="15" t="inlineStr">
        <is>
          <t>SOURCE ZIP / Target_Assets</t>
        </is>
      </c>
      <c r="D5" s="15" t="inlineStr">
        <is>
          <t>index_devices.csv, index_pages.csv and index_explorer.csv captured.</t>
        </is>
      </c>
    </row>
    <row r="6">
      <c r="A6" s="15" t="inlineStr">
        <is>
          <t>Target speaker connector metadata</t>
        </is>
      </c>
      <c r="B6" s="15" t="inlineStr">
        <is>
          <t>YES - 15/15</t>
        </is>
      </c>
      <c r="C6" s="15" t="inlineStr">
        <is>
          <t>YES</t>
        </is>
      </c>
      <c r="D6" s="15" t="inlineStr">
        <is>
          <t>Every target SPK01-SPK15 endpoint has Tesla connector metadata/cavities.</t>
        </is>
      </c>
    </row>
    <row r="7">
      <c r="A7" s="15" t="inlineStr">
        <is>
          <t>Target terminal faceviews</t>
        </is>
      </c>
      <c r="B7" s="15" t="inlineStr">
        <is>
          <t>YES - 15/15</t>
        </is>
      </c>
      <c r="C7" s="15" t="inlineStr">
        <is>
          <t>YES</t>
        </is>
      </c>
      <c r="D7" s="15" t="inlineStr">
        <is>
          <t>All target endpoints resolve to captured faceview data; 3 unique faceview files are required.</t>
        </is>
      </c>
    </row>
    <row r="8">
      <c r="A8" s="15" t="inlineStr">
        <is>
          <t>Target location JPGs</t>
        </is>
      </c>
      <c r="B8" s="15" t="inlineStr">
        <is>
          <t>14/15 COMBINED</t>
        </is>
      </c>
      <c r="C8" s="15" t="inlineStr">
        <is>
          <t>YES - 14/15</t>
        </is>
      </c>
      <c r="D8" s="15" t="inlineStr">
        <is>
          <t>12 current collector images + prior X586/X595 built-ins. X566 location image returned HTTP 403 and remains a visual-only gap.</t>
        </is>
      </c>
    </row>
    <row r="9">
      <c r="A9" s="15" t="inlineStr">
        <is>
          <t>All discovered connector metadata</t>
        </is>
      </c>
      <c r="B9" s="15" t="inlineStr">
        <is>
          <t>97 records</t>
        </is>
      </c>
      <c r="C9" s="15" t="inlineStr">
        <is>
          <t>SOURCE ZIP</t>
        </is>
      </c>
      <c r="D9" s="15" t="inlineStr">
        <is>
          <t>Collector discovery includes endpoint, pass-through, inline and related audio connectors.</t>
        </is>
      </c>
    </row>
    <row r="10">
      <c r="A10" s="15" t="inlineStr">
        <is>
          <t>All captured connector locations</t>
        </is>
      </c>
      <c r="B10" s="15" t="inlineStr">
        <is>
          <t>90 JPGs</t>
        </is>
      </c>
      <c r="C10" s="15" t="inlineStr">
        <is>
          <t>SOURCE ZIP</t>
        </is>
      </c>
      <c r="D10" s="15" t="inlineStr">
        <is>
          <t>Current collector capture; 7 requested location images returned HTTP 403.</t>
        </is>
      </c>
    </row>
    <row r="11">
      <c r="A11" s="15" t="inlineStr">
        <is>
          <t>All captured terminal faceviews</t>
        </is>
      </c>
      <c r="B11" s="15" t="inlineStr">
        <is>
          <t>47 SVGs</t>
        </is>
      </c>
      <c r="C11" s="15" t="inlineStr">
        <is>
          <t>SOURCE ZIP</t>
        </is>
      </c>
      <c r="D11" s="15" t="inlineStr">
        <is>
          <t>Current collector capture; several non-target faceviews returned HTTP 403.</t>
        </is>
      </c>
    </row>
    <row r="12">
      <c r="A12" s="15" t="inlineStr">
        <is>
          <t>Collector source manifest</t>
        </is>
      </c>
      <c r="B12" s="15" t="inlineStr">
        <is>
          <t>241 assets / 14 misses</t>
        </is>
      </c>
      <c r="C12" s="15" t="inlineStr">
        <is>
          <t>YES - bundled audit metadata</t>
        </is>
      </c>
      <c r="D12" s="15" t="inlineStr">
        <is>
          <t>Every manifest-listed packaged asset passed byte-size + SHA-256 validation. All 14 misses are marked required=false by the collector.</t>
        </is>
      </c>
    </row>
    <row r="13">
      <c r="A13" s="15" t="inlineStr">
        <is>
          <t>Asset Collector userscript v1.1.6</t>
        </is>
      </c>
      <c r="B13" s="15" t="inlineStr">
        <is>
          <t>YES - package component</t>
        </is>
      </c>
      <c r="C13" s="15" t="inlineStr">
        <is>
          <t>FUTURE CAPTURE TOOL</t>
        </is>
      </c>
      <c r="D13" s="15" t="inlineStr">
        <is>
          <t>Native ZIP STORE writer; no JSZip runtime dependency; lint cleanups retained.</t>
        </is>
      </c>
    </row>
    <row r="14">
      <c r="A14" s="15" t="inlineStr">
        <is>
          <t>Pioneer TS-WX1220AH donor subsystem</t>
        </is>
      </c>
      <c r="B14" s="15" t="inlineStr">
        <is>
          <t>N/A - user-owned hardware</t>
        </is>
      </c>
      <c r="C14" s="15" t="inlineStr">
        <is>
          <t>YES</t>
        </is>
      </c>
      <c r="D14" s="15" t="inlineStr">
        <is>
          <t>Retain / DC-DC / MATCH UP 1FX / HELIX M ONE / M ONE X comparison preserved.</t>
        </is>
      </c>
    </row>
  </sheetData>
  <autoFilter ref="A1:D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2026-09-01T01:09:07Z</dcterms:created>
  <dcterms:modified xmlns:dcterms="http://purl.org/dc/terms/" xmlns:xsi="http://www.w3.org/2001/XMLSchema-instance" xsi:type="dcterms:W3CDTF">2026-09-10T17:54:01Z</dcterms:modified>
</cp:coreProperties>
</file>